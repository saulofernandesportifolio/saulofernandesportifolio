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EstaPasta_de_trabalho" defaultThemeVersion="124226"/>
  <bookViews>
    <workbookView xWindow="0" yWindow="60" windowWidth="9450" windowHeight="9315"/>
  </bookViews>
  <sheets>
    <sheet name="CHAMADOS" sheetId="4" r:id="rId1"/>
    <sheet name="CONTROLE" sheetId="8" r:id="rId2"/>
    <sheet name="CONTROLE DE CHAMADOS" sheetId="3" state="hidden" r:id="rId3"/>
    <sheet name="BANCO DE DADOS" sheetId="7" state="hidden" r:id="rId4"/>
  </sheets>
  <definedNames>
    <definedName name="area">'BANCO DE DADOS'!$A$2:$A$8</definedName>
    <definedName name="colaborador">'BANCO DE DADOS'!$C$2:$D$170</definedName>
    <definedName name="descrição">CHAMADOS!$C$4</definedName>
    <definedName name="operador">'BANCO DE DADOS'!$C$2:$C$170</definedName>
    <definedName name="operadores">#REF!</definedName>
    <definedName name="proibido">"Imagem 9"</definedName>
    <definedName name="resposta">CHAMADOS!#REF!</definedName>
  </definedNames>
  <calcPr calcId="125725"/>
</workbook>
</file>

<file path=xl/calcChain.xml><?xml version="1.0" encoding="utf-8"?>
<calcChain xmlns="http://schemas.openxmlformats.org/spreadsheetml/2006/main">
  <c r="G5" i="3"/>
  <c r="G6"/>
  <c r="G7" l="1"/>
  <c r="G51" l="1"/>
  <c r="G50" s="1"/>
  <c r="G49" s="1"/>
  <c r="G48" s="1"/>
  <c r="G47" s="1"/>
  <c r="G46" s="1"/>
  <c r="G45" s="1"/>
  <c r="G44" s="1"/>
  <c r="G43" s="1"/>
  <c r="G42" s="1"/>
  <c r="G41" s="1"/>
  <c r="G40" s="1"/>
  <c r="G39" s="1"/>
  <c r="G38" s="1"/>
  <c r="G37" s="1"/>
  <c r="G36" s="1"/>
  <c r="G35" s="1"/>
  <c r="G34" s="1"/>
  <c r="G33" s="1"/>
  <c r="G32" s="1"/>
  <c r="G31" s="1"/>
  <c r="G30" s="1"/>
  <c r="G29" s="1"/>
  <c r="G28" s="1"/>
  <c r="G27" s="1"/>
  <c r="G26" s="1"/>
  <c r="G25" s="1"/>
  <c r="G24" s="1"/>
  <c r="G23" s="1"/>
  <c r="G22" s="1"/>
  <c r="G21" s="1"/>
  <c r="G20" s="1"/>
  <c r="G19" s="1"/>
  <c r="G18" s="1"/>
  <c r="G17" s="1"/>
  <c r="G16" s="1"/>
  <c r="G15" s="1"/>
  <c r="G14" s="1"/>
  <c r="G13" s="1"/>
  <c r="G12" s="1"/>
  <c r="G11" s="1"/>
  <c r="G10" s="1"/>
  <c r="G9" s="1"/>
  <c r="G8" s="1"/>
  <c r="I16" i="4"/>
  <c r="B33" l="1"/>
  <c r="B31"/>
  <c r="C35"/>
  <c r="D35"/>
  <c r="G2" i="3"/>
  <c r="F2"/>
  <c r="E2"/>
  <c r="C2"/>
  <c r="A2"/>
  <c r="D170" i="7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I18" i="4" l="1"/>
  <c r="C18"/>
  <c r="B2" i="3" l="1"/>
  <c r="D2"/>
  <c r="C33" i="4" s="1"/>
  <c r="C31" s="1"/>
</calcChain>
</file>

<file path=xl/sharedStrings.xml><?xml version="1.0" encoding="utf-8"?>
<sst xmlns="http://schemas.openxmlformats.org/spreadsheetml/2006/main" count="313" uniqueCount="167">
  <si>
    <t>Área Responsável:</t>
  </si>
  <si>
    <t>Descrição do problema:</t>
  </si>
  <si>
    <t>Nome do Computador:</t>
  </si>
  <si>
    <t>Data de abertura:</t>
  </si>
  <si>
    <t>Coordenação</t>
  </si>
  <si>
    <t>Supervisão</t>
  </si>
  <si>
    <t>RH</t>
  </si>
  <si>
    <t>B.I.</t>
  </si>
  <si>
    <t>T.I. (ABS)</t>
  </si>
  <si>
    <t>Nome do Operador:</t>
  </si>
  <si>
    <t>RE</t>
  </si>
  <si>
    <t>R.E.</t>
  </si>
  <si>
    <t>ANDERSON SILVA SEIXAS</t>
  </si>
  <si>
    <t>ANDRÉA DA COSTA PORTO MARTINS</t>
  </si>
  <si>
    <t>Colaborador</t>
  </si>
  <si>
    <t>AMANDA THIEL LOPES</t>
  </si>
  <si>
    <t>ANA PAULA BARRADA DE ALMEIDA</t>
  </si>
  <si>
    <t xml:space="preserve">ANDERSON DE MELO DE AGUIAR </t>
  </si>
  <si>
    <t>ANGELA DE OLIVEIRA PIEROZAN</t>
  </si>
  <si>
    <t>DAIANA MAIA DE OLIVEIRA</t>
  </si>
  <si>
    <t>DAIANA MARIA MOCELLIN</t>
  </si>
  <si>
    <t>DAVI DA SILVA RAMOS</t>
  </si>
  <si>
    <t>DOUGLAS MENEZES</t>
  </si>
  <si>
    <t>EDERSON VIDARTE GASPARY</t>
  </si>
  <si>
    <t>EDUARDO KRAKHECKE GODOI</t>
  </si>
  <si>
    <t>ERICK RAMON VARGAS RACTZ</t>
  </si>
  <si>
    <t>FELIPE PIRES RIBEIRO</t>
  </si>
  <si>
    <t>FERNANDA BARBOSA DA SILVA</t>
  </si>
  <si>
    <t>FILIPE POHREN DA SILVA</t>
  </si>
  <si>
    <t>FREDERICK BITENCOURT COSTA</t>
  </si>
  <si>
    <t>GEISE ALVES DOS SANTOS</t>
  </si>
  <si>
    <t>IGOR RODRIGUES DE RODRIGUES</t>
  </si>
  <si>
    <t>JAIME DINIS FELIX DOS SANTOS</t>
  </si>
  <si>
    <t>JAMERSON RODRIGUES LINEIRA</t>
  </si>
  <si>
    <t>JÉSSICA DA ROSA RODRIGUES CUNHA</t>
  </si>
  <si>
    <t>JOCELAINE DE OLIVEIRA MACHADO</t>
  </si>
  <si>
    <t>JONATHAN MARTINS</t>
  </si>
  <si>
    <t>LUIS PAULO GOMES DINIZ</t>
  </si>
  <si>
    <t>MAICON BORGES PIRES</t>
  </si>
  <si>
    <t>MARCELO DEWES CHASSOT</t>
  </si>
  <si>
    <t>MARCIO JOSE LEAL FRAGA</t>
  </si>
  <si>
    <t>MARCUS VIAMONTE</t>
  </si>
  <si>
    <t>MARIA APARECIDA RODRIGUES ÁVILA</t>
  </si>
  <si>
    <t>MARIA ELISABETE OLIVEIRA DOS REIS</t>
  </si>
  <si>
    <t>MÁRIO AZAMBUJA VARES</t>
  </si>
  <si>
    <t>MARLON HENRIQUE DE MELLO CASTILHO</t>
  </si>
  <si>
    <t>NADIA DE BRITTO MACIEL</t>
  </si>
  <si>
    <t>PATRICIA GOULARTE STREESE</t>
  </si>
  <si>
    <t>PAULA ELISA FLORES DO CARMO</t>
  </si>
  <si>
    <t>PAULO ROBERTO CELESTINO SCHWARTZHAUPT</t>
  </si>
  <si>
    <t>PEDRO HENRIQUE MACHADO VIDAL</t>
  </si>
  <si>
    <t xml:space="preserve">PRISCILA DANIELA OLIVEIRA FAGUNDES </t>
  </si>
  <si>
    <t>PRISCILLA DA SILVA PEREIRA</t>
  </si>
  <si>
    <t>QUELI ALINE THIESEN GOMES</t>
  </si>
  <si>
    <t>RAQUEL DA SILVEIRA</t>
  </si>
  <si>
    <t>REJANE PRESTES DA SILVEIRA</t>
  </si>
  <si>
    <t>RENAN MONTICELLI OLIVEIRA</t>
  </si>
  <si>
    <t>RENATA FERNANDES NUNES</t>
  </si>
  <si>
    <t>ROCHELE MENDES SOARES SAMPAIO</t>
  </si>
  <si>
    <t>SCHEILA VALÉRIA DE SOUZA</t>
  </si>
  <si>
    <t>SHANNON GOULART DA SILVA</t>
  </si>
  <si>
    <t>SIMONE FERREIRA DE ÁVILA</t>
  </si>
  <si>
    <t>SIMONE SALETE COSTA DA SILVA</t>
  </si>
  <si>
    <t>TAMIRES BORGES LIMA</t>
  </si>
  <si>
    <t>VANDERLI SOARES DOS SANTOS</t>
  </si>
  <si>
    <t>VANIA PATRICIA SILVA DOS REIS</t>
  </si>
  <si>
    <t xml:space="preserve">VICTOR HUGO SOUZA RODRIGUES </t>
  </si>
  <si>
    <t>VIVIANE CAMILA DEPORTE</t>
  </si>
  <si>
    <t>WILLIAM DOETER VIEGAS</t>
  </si>
  <si>
    <t>Numero do Chamado:</t>
  </si>
  <si>
    <t>Parecer:</t>
  </si>
  <si>
    <t>Número do Chamado:</t>
  </si>
  <si>
    <t>Resposta:</t>
  </si>
  <si>
    <t>Status:</t>
  </si>
  <si>
    <t>jamelao</t>
  </si>
  <si>
    <t>Chamado:</t>
  </si>
  <si>
    <t>Retorno:</t>
  </si>
  <si>
    <t>Segurança:</t>
  </si>
  <si>
    <t>Selection.ClearContents</t>
  </si>
  <si>
    <t>Obrigado!</t>
  </si>
  <si>
    <t>Chave do meu fundo de garantia ainda não saiu. Gostaria de um novo posicionamento do RH. Obrigado!</t>
  </si>
  <si>
    <t>TESTE</t>
  </si>
  <si>
    <t>Concluido</t>
  </si>
  <si>
    <t xml:space="preserve">FOI EFETUADO  O DEPÓSITO REFERENTE A FGTS NO TOTAL DE R$ 278,15(RECISÓRIA ) DA SEGUINTE FORMA :     SALDO ANTERIOR R$ 118,72;    07/08/2014 - R$ 63,70(JUL/14) ;05/09/2014 - R$94,89 ; 10/09/2014 CRÉDITO JAM - R$ 0,55 ;    10/10/2014 - CRÉDITO JAM R$ 0,92.   o MONTANTE DE DEPÓSITO NÃO SERIAM REFERENTE AOS 6MESES, A CONTAR DE MAIO/2014?                                              </t>
  </si>
  <si>
    <t>CLAUDIO CONFORME CONVERSADO, MEU CARTÃO VALE REFEIÇÃO FOI ROUBADO NA QUARTA-FEIRA NO ASSALTO DAÍ TEM QUE AVISAR O RH PARA RETIRAR O VALOR CREDITADO, SE POSSIVEL DEPOSITAR NA CONTA SALÁRIO, ATÉ A CHEGADA NO NOVO CARTÃO. GRATO!</t>
  </si>
  <si>
    <t>NÃO RECEBI OS VALORES CORRETOS CORRESPONDETES AO VT E VA DO MÊS DE NOVEMBRO, E AINDA NÃO RECEBI DO MÊS DE DEZEMBRO, AO VERIFICAR MINHA HOUVE UM PAGAMENTO DE R$ 36,42 EM 28/11, GOSTARIA DE VERIFICAR QUAL A SITUAÇÃO PARA RESOLVER O PROBLEMA.</t>
  </si>
  <si>
    <t xml:space="preserve">Pedido 1-11847933009 estava sob minha análise e, após sistema Vivovorp 'cair' e retornar, o pedido desapareceu. Tenho uma dúvida: não é a primeira vez que acontece isso com um pedido que estou analisando, e gostaria de saber se tem como alguém analisar meu pedido ao mesmo tempo que eu? Levando em consideração que meu nome está no pedido como "Analisando Angela Treinamento Alta".  </t>
  </si>
  <si>
    <t>10/10 cobrei luana. 10/10 Luana informou que havia solicitado. 30/10 cobrei luana sobre a demora. 28/11 Cobrei Kamila (nova resp) sobre a demora. 28/11 Procure supervisão para receber a chave. 28/11 Colaboradora já recebeu chave.</t>
  </si>
  <si>
    <t>Angela, pedido foi retirado pelos analisas lideres de sua visão por se tratar de um vendedor que não deve ser analisado pela madrugada. Este vendedor é muito importante para VIVO. Como somente conseguimos filtrar eles depois de passar os pedidos acabamos enviado a você equivocadamente um pedido dele. Peço desculpas pelo transtorno.</t>
  </si>
  <si>
    <t>NÃO RECEBI DISSIDIO SOBRE SALARIO, DISSIDIO SOBRE VA (RECEBI APENAS 53,00) E HORAS EXTRAS 130% E 50% REFERENTE A FOLHA NO PERIODO DE 21/09 A 20/10).</t>
  </si>
  <si>
    <t>SOLICITAÇAO  DE FÉRIAS EM FEVEREIRO DE 2015</t>
  </si>
  <si>
    <t xml:space="preserve">VANIA REIS  </t>
  </si>
  <si>
    <t>ANDERSON DE MELO DE AGUIAR</t>
  </si>
  <si>
    <t xml:space="preserve">NÃO RECEBI A METADO DO MEU DÉCIMO,  VALE REFEIÇÃO E NEM VALE TRANSPORTE! </t>
  </si>
  <si>
    <t>Outros</t>
  </si>
  <si>
    <t>CHAVE PARA O FUNDO DE GARANTIA   ...Obrigado!</t>
  </si>
  <si>
    <t>NÃO RECEBI AS PASSAGENS E VALE ALIMENTAÇÃO.</t>
  </si>
  <si>
    <t>Não entendi</t>
  </si>
  <si>
    <t>Aguandando retorno Coordenção</t>
  </si>
  <si>
    <t>Enviei a solicitação para coordenação</t>
  </si>
  <si>
    <t>Aguardando Gerencia</t>
  </si>
  <si>
    <t>Não possuo prazo, mas dia 27/11 o rh disse que esta aguardando gerencia da empresa para resolver tema.</t>
  </si>
  <si>
    <t>Aguardando RH</t>
  </si>
  <si>
    <t>Claudio, favor fechar chamado nº 11, pois o problema dos benefícios foram resolvidos hoje com o pagamento. Obrigado, Marlon Henrique.</t>
  </si>
  <si>
    <t>concluido</t>
  </si>
  <si>
    <t>Marlon, preciso de um extrato da conta para poder contestar o RH. Chamado encerrado por solicitação do colaborador</t>
  </si>
  <si>
    <t>Concluido chamado 11 por solicitação do colaborador</t>
  </si>
  <si>
    <t>28/11 Rh informou que em 2 dias enviara Nº. Dia 01/12/2014 entreguei a chave</t>
  </si>
  <si>
    <t>Necessito de um documento para contestar os pagamentes. Hoje (28/11) recebi a confirmação de que em 2 dias a chave estara disponivel. 03/12 Rh informa que toodos os depositos foram corretos.</t>
  </si>
  <si>
    <t>boa noite, eu , Luis Paulo Gomes Diniz, estou sem meu cartão alimentação, pois devido a um assalto meu cartão alimentação  não se encontra mais comigo, e nem cheguei a usa-lo, gostaria de solicitar outro cartão.</t>
  </si>
  <si>
    <t>Luis Paulo Gomes Diniz</t>
  </si>
  <si>
    <t xml:space="preserve"> FAVOR SOLICITAR ATUALIZAÇÃO DA VERSÃO DO SISTEMA ATLYS, ESTAVA USANDO VERSÃO ANTIGA, PORÉM A PARTIR DAS 04:06 DO DIA 05/12 NÃO ABRE MAIS O SISTEMA. ICONE  COM NOVA VERSÃO  PEDE REINSTALAÇÃO. EM TEMPO MÁQUINA EXTREMAMENTE LENTA  NA INICIALIZAÇÃO DOS SISTEMAS E APLICATIVOS. OBRIGADO!</t>
  </si>
  <si>
    <t>Me foi passada o numero do cartao da unimed mas não consegui usar o mesmo! Tem uma previsão para envio da carteirinha? O plano foi solicitado em outubro! Aguardo</t>
  </si>
  <si>
    <t>NÃO RECEBO BURAN</t>
  </si>
  <si>
    <t>MAQUINA NÃO ABRE DOCUMENTOS BR OFFICE</t>
  </si>
  <si>
    <t>Você me entregou o B.O.? Com ele posso solicitar novo cartão gratis. Sem ele tera o custo de R$6,00</t>
  </si>
  <si>
    <t>Devemos utilizar apenas microsoft office. Estou verificando com a coordenação sobre a utilização deste programa</t>
  </si>
  <si>
    <t>Meu contrato de 6 meses fechou no dia 11/11/2014, neste mês de novembro recebi passagens e vale refeição para apenas 6 dias dos 20 dias que foram trabalhados. Estamos no dia 8/12 e além de não receber os vales transporte e vale refeição desses 14 dias do mês de novembro, ainda não recebi do mês de dezembro também.</t>
  </si>
  <si>
    <t>GOSTARIA DE SABER SE JÁ POSSO UTILIZAR O PLANO ODONTOLOGICO POIS JÁ FUI COBRADA PELO MESMO.</t>
  </si>
  <si>
    <t>Referente ao meu contrato temporário que estará vencendo quinta-feira dia 11/12/14, gostaria de um parecer.Obrigado!</t>
  </si>
  <si>
    <t>DOMINGO REFERENTE AO MÊS DE OUTUBRO (26/10) NÃO FOI PAGO, NEM OS BENEFÍCIOS.</t>
  </si>
  <si>
    <t>Pagamento sera em meados de dezembro</t>
  </si>
  <si>
    <t>Concluida</t>
  </si>
  <si>
    <t>Fernanda nos conversamos ontem. Se quiser podemos conversar mais. Estou disponivel sempre.</t>
  </si>
  <si>
    <t>Buran instalado.</t>
  </si>
  <si>
    <t>Aberto chamado com ABS solicitando correção. Prazo 1 a 2 dias uteis. Atlys atualizado</t>
  </si>
  <si>
    <t>Desligado Solicitação com RH</t>
  </si>
  <si>
    <t>Solicitei Pagamento. 11/12 discuti com RH sobre demora e envolvi a coordenação espero corrigir a falha no maximo até o final da desta semana.</t>
  </si>
  <si>
    <t>Olá , quero saber se foi aceito pelo rh a minha troca de passagens devido a minha mudança de endereço?/ e quero saber quando vou assinar o novo contrato o de efetivo, e se vai motificar alguma coisa na minha carteira de trabalho? Obrigado!</t>
  </si>
  <si>
    <t>O MOUSE OU A MÁQUINA ESTÃO COM LENTIDÃO. TENHO QUE CLICAR MAIS DE DUAS VEZES PARA SELECIONAR O INTEM; PARA COPIAR, COLAR E PARA ACESSAR PASTAS NÃO SELECIONA.</t>
  </si>
  <si>
    <t>Dissidio não depositado.</t>
  </si>
  <si>
    <t>Recebi salario familia somente no primeiro mês trabalhado (agosto) gostaria de saber o motivo de não receber mais. Obrigado!</t>
  </si>
  <si>
    <t>NECESSITO VERFICAR 3 ASSUNTOS: 1) REFERENTE MEU CARTÃO VALE REFEIÇÃO TEMOS PREVISÃO PARA RECEBER ESSA SEMANA, POIS FECHA 15 DIAS UTEIS DA SOLICITAÇÃO. 2) DIAS 22/12 E 23/12 SERÁ LIBERADO PARA FAZER PELO MENOS 1 HR DE BH. 3) REFERENTE A DIFERENÇA DO VT E VR QUE NÃO FORAM DEPOSITADOS, OS MESMOS SERÃO PAGOS APÓS A ASSINATURA DO CONTRATO EFETIVO DE TRABALHO JUNTO COM OS DO MÊS JANEIRO. GRATO DESDE JÁ!</t>
  </si>
  <si>
    <t>PRECISO DA CARTA PARA ABERTURA DE CONTA NO BANCO DO BRASIL! Grata</t>
  </si>
  <si>
    <t>Boa Tarde, teria como me conseguir a copia de folha pondo do mês de Novembro</t>
  </si>
  <si>
    <t>Cocnluido</t>
  </si>
  <si>
    <t>Tudo Pago</t>
  </si>
  <si>
    <t>Duvida já explicada</t>
  </si>
  <si>
    <t>Solicitei resolução sobre o caso. 11/12 Rh informou que solicitou numero do cartão e localização do mesmo. já É POSSIVEL UTILIZA-LO</t>
  </si>
  <si>
    <t>Pendente retorno do RH</t>
  </si>
  <si>
    <t>Foi enviado comprovante de endereço. Durante assinatura de contrato o novo numero de passagens foi solicitado.</t>
  </si>
  <si>
    <t>HORAS FALTANDO NA PLANILHA DE BH</t>
  </si>
  <si>
    <t>verificado com o analista e corrigido no ponto e no controle</t>
  </si>
  <si>
    <t xml:space="preserve">SOU A JOCELAINE SO PRA RELATAR QUE NO MEU CARTAO ALIMENTAÇAO ESSE MÊS ENTROU SOMENTE  R$ 112  E AS MINHA PASSAGEM ENTROU 50 REAIS GOSTARIA DE SABER, PQ ? DESDE JÁ AGRADEÇO E AGUARDE UM RETORNO </t>
  </si>
  <si>
    <t>REFERENTE A FOLHA DE NOVEMBRO/DEZEMBRO COM PAGAMENTO EM JANEIRO. TRABALHEI 28 HORAS POREM SO RECEBI 4 HORAS 130%.</t>
  </si>
  <si>
    <t xml:space="preserve">Oi, gostaria de saber quando a minha carteira de trabalho vai ser entregue a mim?, qual é o prazo para ser depositada a diferença do valor na minha passagens? pois vou ter passagens apenas até o dia 19/01/2015, (gostaria tambem do meu comprovante de endereço de volta)eu quero outro papel para aderir ao plano dentário e gostaria de saber em quanto tempo vou receber o cartão do plano? </t>
  </si>
  <si>
    <t>MANUTENÇÃO DA MAQUINA 63279 POIS APRESENTA LENTIDÃO E DEMORA AO EXECUTAR OS PROGRAMAS. Obrigado!</t>
  </si>
  <si>
    <t>jljlkjkljljl</t>
  </si>
  <si>
    <t>pa3333</t>
  </si>
  <si>
    <t>Gostaria de saber ao que se refere o pagamento que houve no dia 13/02 no valor de R$ 20,00. Caso seja o transporte utilizo quatro passagens, totalizando R$ 11,80 o dia, como fiz dois domingos extras esse valor está divergente.</t>
  </si>
  <si>
    <t>Recebeu somente até 14/01. Já sinalizei que sera renovada e pagamento voltara a ser depositado normalmente.</t>
  </si>
  <si>
    <t>Já lançamos as horas em nova folha para pagamento</t>
  </si>
  <si>
    <t>Por favor abra um chamado para cada solicitação. Carteira de trabalho Entregue. Já contestei o Rh para saber o que houve com pagamento. Não possui conhecimento sobre o prazo de entrega do cartão.</t>
  </si>
  <si>
    <t>Pendente Parcial</t>
  </si>
  <si>
    <t>Chamado aberto</t>
  </si>
  <si>
    <t>Pendente Retorno RH</t>
  </si>
  <si>
    <t>Questionei RH. Aguardando Retorno.</t>
  </si>
  <si>
    <t>Cartão Entre</t>
  </si>
  <si>
    <t>Operador desligado</t>
  </si>
  <si>
    <t>Cartão Entregue</t>
  </si>
  <si>
    <t>Pagamentos Realizados</t>
  </si>
  <si>
    <t>Entregue</t>
  </si>
  <si>
    <t>P.A 14, FOI REALIZADA MANUTENÇÃO, ANTES NÃO IDENTIFIQUEI PROBLEMA DE LENTIDÃO, MAS DEPOIS DA MANUTENÇÃO ESTA BASTANTE LENTA</t>
  </si>
  <si>
    <t>Pendente</t>
  </si>
  <si>
    <t>MOUSE COM ESTÁ RUIM ,QUANDO CLICA UMA VEZ ELE CLICA DUAS VEZES.</t>
  </si>
  <si>
    <t>MOUSE ESTA COM O BOTÃO ESQUERDO ESTRAGADO.</t>
  </si>
  <si>
    <t>MOUSE ESTA COM O SENSOR ÓTICO ESTRAGADO, FUNCIONA OSCILANDO TREMENDO A SETA E TRAVANDO NOS CANTOS DO MONITOR.</t>
  </si>
</sst>
</file>

<file path=xl/styles.xml><?xml version="1.0" encoding="utf-8"?>
<styleSheet xmlns="http://schemas.openxmlformats.org/spreadsheetml/2006/main">
  <numFmts count="1">
    <numFmt numFmtId="164" formatCode="d/m/yy\ h:mm;@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name val="Eras Bold ITC"/>
      <family val="2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0" borderId="2" xfId="0" applyBorder="1"/>
    <xf numFmtId="22" fontId="0" fillId="0" borderId="1" xfId="0" applyNumberFormat="1" applyBorder="1"/>
    <xf numFmtId="0" fontId="1" fillId="2" borderId="2" xfId="0" applyFont="1" applyFill="1" applyBorder="1"/>
    <xf numFmtId="0" fontId="0" fillId="0" borderId="11" xfId="0" applyBorder="1"/>
    <xf numFmtId="0" fontId="2" fillId="3" borderId="12" xfId="0" applyFont="1" applyFill="1" applyBorder="1"/>
    <xf numFmtId="0" fontId="2" fillId="3" borderId="13" xfId="0" applyFont="1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3" borderId="18" xfId="0" applyFont="1" applyFill="1" applyBorder="1"/>
    <xf numFmtId="0" fontId="0" fillId="0" borderId="19" xfId="0" applyBorder="1"/>
    <xf numFmtId="0" fontId="0" fillId="4" borderId="0" xfId="0" applyFill="1"/>
    <xf numFmtId="0" fontId="0" fillId="4" borderId="0" xfId="0" applyFill="1" applyBorder="1"/>
    <xf numFmtId="0" fontId="3" fillId="4" borderId="0" xfId="0" applyFont="1" applyFill="1" applyBorder="1"/>
    <xf numFmtId="0" fontId="3" fillId="4" borderId="0" xfId="0" applyFont="1" applyFill="1"/>
    <xf numFmtId="2" fontId="0" fillId="0" borderId="0" xfId="0" applyNumberFormat="1"/>
    <xf numFmtId="0" fontId="0" fillId="4" borderId="0" xfId="0" applyFill="1" applyAlignment="1">
      <alignment horizontal="left"/>
    </xf>
    <xf numFmtId="0" fontId="4" fillId="4" borderId="0" xfId="0" applyFont="1" applyFill="1" applyBorder="1"/>
    <xf numFmtId="0" fontId="4" fillId="4" borderId="0" xfId="0" applyFont="1" applyFill="1"/>
    <xf numFmtId="0" fontId="5" fillId="4" borderId="0" xfId="0" applyFont="1" applyFill="1" applyBorder="1"/>
    <xf numFmtId="0" fontId="4" fillId="0" borderId="0" xfId="0" applyFont="1"/>
    <xf numFmtId="0" fontId="0" fillId="0" borderId="1" xfId="0" applyBorder="1" applyProtection="1">
      <protection locked="0"/>
    </xf>
    <xf numFmtId="0" fontId="0" fillId="5" borderId="0" xfId="0" applyFill="1"/>
    <xf numFmtId="0" fontId="0" fillId="0" borderId="1" xfId="0" applyBorder="1" applyProtection="1"/>
    <xf numFmtId="0" fontId="6" fillId="0" borderId="0" xfId="0" applyFont="1" applyFill="1" applyProtection="1">
      <protection locked="0"/>
    </xf>
    <xf numFmtId="0" fontId="7" fillId="0" borderId="0" xfId="0" applyFont="1"/>
    <xf numFmtId="164" fontId="7" fillId="0" borderId="0" xfId="0" applyNumberFormat="1" applyFont="1"/>
    <xf numFmtId="0" fontId="7" fillId="0" borderId="0" xfId="0" applyFont="1" applyProtection="1">
      <protection locked="0"/>
    </xf>
    <xf numFmtId="0" fontId="7" fillId="0" borderId="0" xfId="0" applyFont="1" applyBorder="1"/>
    <xf numFmtId="164" fontId="7" fillId="0" borderId="0" xfId="0" applyNumberFormat="1" applyFont="1" applyBorder="1"/>
    <xf numFmtId="0" fontId="7" fillId="0" borderId="0" xfId="0" applyFont="1" applyFill="1" applyBorder="1"/>
    <xf numFmtId="0" fontId="7" fillId="0" borderId="0" xfId="0" applyFont="1" applyFill="1" applyBorder="1" applyProtection="1">
      <protection locked="0"/>
    </xf>
    <xf numFmtId="0" fontId="7" fillId="6" borderId="0" xfId="0" applyFont="1" applyFill="1" applyBorder="1"/>
    <xf numFmtId="0" fontId="7" fillId="6" borderId="0" xfId="0" applyFont="1" applyFill="1" applyBorder="1" applyProtection="1">
      <protection locked="0"/>
    </xf>
    <xf numFmtId="164" fontId="7" fillId="7" borderId="0" xfId="0" applyNumberFormat="1" applyFont="1" applyFill="1" applyBorder="1"/>
    <xf numFmtId="0" fontId="7" fillId="8" borderId="0" xfId="0" applyFont="1" applyFill="1" applyBorder="1"/>
    <xf numFmtId="164" fontId="7" fillId="8" borderId="0" xfId="0" applyNumberFormat="1" applyFont="1" applyFill="1" applyBorder="1"/>
    <xf numFmtId="0" fontId="7" fillId="8" borderId="0" xfId="0" applyFont="1" applyFill="1" applyBorder="1" applyProtection="1">
      <protection locked="0"/>
    </xf>
    <xf numFmtId="0" fontId="7" fillId="7" borderId="0" xfId="0" applyFont="1" applyFill="1" applyBorder="1"/>
    <xf numFmtId="0" fontId="7" fillId="7" borderId="0" xfId="0" applyFont="1" applyFill="1" applyBorder="1" applyProtection="1">
      <protection locked="0"/>
    </xf>
    <xf numFmtId="0" fontId="7" fillId="7" borderId="0" xfId="0" applyFont="1" applyFill="1"/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4</xdr:row>
      <xdr:rowOff>19050</xdr:rowOff>
    </xdr:from>
    <xdr:to>
      <xdr:col>10</xdr:col>
      <xdr:colOff>76200</xdr:colOff>
      <xdr:row>33</xdr:row>
      <xdr:rowOff>161918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0" y="781050"/>
          <a:ext cx="5600700" cy="56673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P41"/>
  <sheetViews>
    <sheetView tabSelected="1" topLeftCell="B1" zoomScale="90" zoomScaleNormal="90" workbookViewId="0">
      <selection activeCell="C4" sqref="C4:M14"/>
    </sheetView>
  </sheetViews>
  <sheetFormatPr defaultRowHeight="15"/>
  <cols>
    <col min="1" max="1" width="6.28515625" customWidth="1"/>
    <col min="2" max="2" width="22.140625" bestFit="1" customWidth="1"/>
    <col min="3" max="3" width="17.140625" bestFit="1" customWidth="1"/>
    <col min="5" max="5" width="21.5703125" bestFit="1" customWidth="1"/>
    <col min="6" max="6" width="33.5703125" bestFit="1" customWidth="1"/>
    <col min="15" max="15" width="9.140625" customWidth="1"/>
  </cols>
  <sheetData>
    <row r="1" spans="1:16" ht="15.75" thickBo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.75" thickBot="1">
      <c r="A2" s="14"/>
      <c r="B2" s="1" t="s">
        <v>0</v>
      </c>
      <c r="C2" s="2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</row>
    <row r="3" spans="1:16" ht="15.75" thickBo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1:16" ht="15.75" thickBot="1">
      <c r="A4" s="14"/>
      <c r="B4" s="2" t="s">
        <v>1</v>
      </c>
      <c r="C4" s="44" t="s">
        <v>79</v>
      </c>
      <c r="D4" s="45"/>
      <c r="E4" s="45"/>
      <c r="F4" s="45"/>
      <c r="G4" s="45"/>
      <c r="H4" s="45"/>
      <c r="I4" s="45"/>
      <c r="J4" s="45"/>
      <c r="K4" s="45"/>
      <c r="L4" s="45"/>
      <c r="M4" s="46"/>
      <c r="N4" s="14"/>
      <c r="O4" s="14"/>
      <c r="P4" s="14"/>
    </row>
    <row r="5" spans="1:16">
      <c r="A5" s="14"/>
      <c r="B5" s="14"/>
      <c r="C5" s="47"/>
      <c r="D5" s="48"/>
      <c r="E5" s="48"/>
      <c r="F5" s="48"/>
      <c r="G5" s="48"/>
      <c r="H5" s="48"/>
      <c r="I5" s="48"/>
      <c r="J5" s="48"/>
      <c r="K5" s="48"/>
      <c r="L5" s="48"/>
      <c r="M5" s="49"/>
      <c r="N5" s="14"/>
      <c r="O5" s="14"/>
      <c r="P5" s="14"/>
    </row>
    <row r="6" spans="1:16">
      <c r="A6" s="14"/>
      <c r="B6" s="14"/>
      <c r="C6" s="47"/>
      <c r="D6" s="48"/>
      <c r="E6" s="48"/>
      <c r="F6" s="48"/>
      <c r="G6" s="48"/>
      <c r="H6" s="48"/>
      <c r="I6" s="48"/>
      <c r="J6" s="48"/>
      <c r="K6" s="48"/>
      <c r="L6" s="48"/>
      <c r="M6" s="49"/>
      <c r="N6" s="14"/>
      <c r="O6" s="14"/>
      <c r="P6" s="14"/>
    </row>
    <row r="7" spans="1:16">
      <c r="A7" s="14"/>
      <c r="B7" s="14"/>
      <c r="C7" s="47"/>
      <c r="D7" s="48"/>
      <c r="E7" s="48"/>
      <c r="F7" s="48"/>
      <c r="G7" s="48"/>
      <c r="H7" s="48"/>
      <c r="I7" s="48"/>
      <c r="J7" s="48"/>
      <c r="K7" s="48"/>
      <c r="L7" s="48"/>
      <c r="M7" s="49"/>
      <c r="N7" s="14"/>
      <c r="O7" s="14"/>
      <c r="P7" s="14"/>
    </row>
    <row r="8" spans="1:16">
      <c r="A8" s="14"/>
      <c r="B8" s="14"/>
      <c r="C8" s="47"/>
      <c r="D8" s="48"/>
      <c r="E8" s="48"/>
      <c r="F8" s="48"/>
      <c r="G8" s="48"/>
      <c r="H8" s="48"/>
      <c r="I8" s="48"/>
      <c r="J8" s="48"/>
      <c r="K8" s="48"/>
      <c r="L8" s="48"/>
      <c r="M8" s="49"/>
      <c r="N8" s="14"/>
      <c r="O8" s="14"/>
      <c r="P8" s="14"/>
    </row>
    <row r="9" spans="1:16">
      <c r="A9" s="14"/>
      <c r="B9" s="14"/>
      <c r="C9" s="47"/>
      <c r="D9" s="48"/>
      <c r="E9" s="48"/>
      <c r="F9" s="48"/>
      <c r="G9" s="48"/>
      <c r="H9" s="48"/>
      <c r="I9" s="48"/>
      <c r="J9" s="48"/>
      <c r="K9" s="48"/>
      <c r="L9" s="48"/>
      <c r="M9" s="49"/>
      <c r="N9" s="14"/>
      <c r="O9" s="14"/>
      <c r="P9" s="14"/>
    </row>
    <row r="10" spans="1:16">
      <c r="A10" s="14"/>
      <c r="B10" s="14"/>
      <c r="C10" s="47"/>
      <c r="D10" s="48"/>
      <c r="E10" s="48"/>
      <c r="F10" s="48"/>
      <c r="G10" s="48"/>
      <c r="H10" s="48"/>
      <c r="I10" s="48"/>
      <c r="J10" s="48"/>
      <c r="K10" s="48"/>
      <c r="L10" s="48"/>
      <c r="M10" s="49"/>
      <c r="N10" s="14"/>
      <c r="O10" s="14"/>
      <c r="P10" s="14"/>
    </row>
    <row r="11" spans="1:16">
      <c r="A11" s="14"/>
      <c r="B11" s="14"/>
      <c r="C11" s="47"/>
      <c r="D11" s="48"/>
      <c r="E11" s="48"/>
      <c r="F11" s="48"/>
      <c r="G11" s="48"/>
      <c r="H11" s="48"/>
      <c r="I11" s="48"/>
      <c r="J11" s="48"/>
      <c r="K11" s="48"/>
      <c r="L11" s="48"/>
      <c r="M11" s="49"/>
      <c r="N11" s="14"/>
      <c r="O11" s="14"/>
      <c r="P11" s="14"/>
    </row>
    <row r="12" spans="1:16">
      <c r="A12" s="14"/>
      <c r="B12" s="14"/>
      <c r="C12" s="47"/>
      <c r="D12" s="48"/>
      <c r="E12" s="48"/>
      <c r="F12" s="48"/>
      <c r="G12" s="48"/>
      <c r="H12" s="48"/>
      <c r="I12" s="48"/>
      <c r="J12" s="48"/>
      <c r="K12" s="48"/>
      <c r="L12" s="48"/>
      <c r="M12" s="49"/>
      <c r="N12" s="14"/>
      <c r="O12" s="14"/>
      <c r="P12" s="14"/>
    </row>
    <row r="13" spans="1:16">
      <c r="A13" s="14"/>
      <c r="B13" s="14"/>
      <c r="C13" s="47"/>
      <c r="D13" s="48"/>
      <c r="E13" s="48"/>
      <c r="F13" s="48"/>
      <c r="G13" s="48"/>
      <c r="H13" s="48"/>
      <c r="I13" s="48"/>
      <c r="J13" s="48"/>
      <c r="K13" s="48"/>
      <c r="L13" s="48"/>
      <c r="M13" s="49"/>
      <c r="N13" s="14"/>
      <c r="O13" s="14"/>
      <c r="P13" s="14"/>
    </row>
    <row r="14" spans="1:16" ht="15.75" thickBot="1">
      <c r="A14" s="14"/>
      <c r="B14" s="14"/>
      <c r="C14" s="50"/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14"/>
      <c r="O14" s="14"/>
      <c r="P14" s="14"/>
    </row>
    <row r="15" spans="1:16" ht="15.75" thickBot="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</row>
    <row r="16" spans="1:16" ht="15.75" thickBot="1">
      <c r="A16" s="14"/>
      <c r="B16" s="1" t="s">
        <v>2</v>
      </c>
      <c r="C16" s="24"/>
      <c r="D16" s="14"/>
      <c r="E16" s="1" t="s">
        <v>9</v>
      </c>
      <c r="F16" s="27"/>
      <c r="G16" s="14"/>
      <c r="H16" s="1" t="s">
        <v>10</v>
      </c>
      <c r="I16" s="26" t="str">
        <f>IF(F16="","",VLOOKUP(F16,'BANCO DE DADOS'!C:D,2,0))</f>
        <v/>
      </c>
      <c r="J16" s="14"/>
      <c r="K16" s="14"/>
      <c r="L16" s="14"/>
      <c r="M16" s="14"/>
      <c r="N16" s="14"/>
      <c r="O16" s="14"/>
      <c r="P16" s="14"/>
    </row>
    <row r="17" spans="1:16" ht="15.75" thickBot="1">
      <c r="A17" s="14"/>
      <c r="B17" s="14"/>
      <c r="C17" s="14"/>
      <c r="D17" s="14"/>
      <c r="E17" s="14"/>
      <c r="F17" s="14"/>
      <c r="G17" s="15"/>
      <c r="H17" s="15"/>
      <c r="I17" s="15"/>
      <c r="J17" s="15"/>
      <c r="K17" s="14"/>
      <c r="L17" s="14"/>
      <c r="M17" s="14"/>
      <c r="N17" s="14"/>
      <c r="O17" s="14"/>
      <c r="P17" s="14"/>
    </row>
    <row r="18" spans="1:16" ht="15.75" thickBot="1">
      <c r="A18" s="14"/>
      <c r="B18" s="1" t="s">
        <v>3</v>
      </c>
      <c r="C18" s="3">
        <f ca="1">NOW()</f>
        <v>42034.059768055558</v>
      </c>
      <c r="D18" s="19"/>
      <c r="E18" s="14"/>
      <c r="F18" s="14"/>
      <c r="G18" s="20"/>
      <c r="H18" s="16" t="s">
        <v>75</v>
      </c>
      <c r="I18" s="16">
        <f>'CONTROLE DE CHAMADOS'!$G$2</f>
        <v>47</v>
      </c>
      <c r="J18" s="20"/>
      <c r="K18" s="21"/>
      <c r="L18" s="21"/>
      <c r="M18" s="21"/>
      <c r="N18" s="21"/>
      <c r="O18" s="14"/>
      <c r="P18" s="14"/>
    </row>
    <row r="19" spans="1:16">
      <c r="A19" s="14"/>
      <c r="B19" s="14"/>
      <c r="C19" s="14"/>
      <c r="D19" s="14"/>
      <c r="E19" s="14"/>
      <c r="F19" s="14"/>
      <c r="G19" s="20"/>
      <c r="H19" s="20"/>
      <c r="I19" s="20"/>
      <c r="J19" s="20"/>
      <c r="K19" s="21"/>
      <c r="L19" s="21"/>
      <c r="M19" s="21"/>
      <c r="N19" s="21"/>
      <c r="O19" s="14"/>
      <c r="P19" s="14"/>
    </row>
    <row r="20" spans="1:16" ht="15.75">
      <c r="A20" s="14"/>
      <c r="B20" s="14"/>
      <c r="C20" s="14"/>
      <c r="D20" s="14"/>
      <c r="E20" s="14"/>
      <c r="F20" s="14"/>
      <c r="G20" s="22"/>
      <c r="H20" s="20"/>
      <c r="I20" s="21"/>
      <c r="J20" s="20"/>
      <c r="K20" s="21"/>
      <c r="L20" s="21"/>
      <c r="M20" s="21"/>
      <c r="N20" s="21"/>
      <c r="O20" s="14"/>
      <c r="P20" s="14"/>
    </row>
    <row r="21" spans="1:16">
      <c r="A21" s="14"/>
      <c r="B21" s="14"/>
      <c r="C21" s="14"/>
      <c r="D21" s="14"/>
      <c r="E21" s="14"/>
      <c r="F21" s="14"/>
      <c r="G21" s="21"/>
      <c r="H21" s="21"/>
      <c r="I21" s="21"/>
      <c r="J21" s="21"/>
      <c r="K21" s="21"/>
      <c r="L21" s="21"/>
      <c r="M21" s="21"/>
      <c r="N21" s="21"/>
      <c r="O21" s="14"/>
      <c r="P21" s="14"/>
    </row>
    <row r="22" spans="1:16">
      <c r="A22" s="14"/>
      <c r="B22" s="14"/>
      <c r="C22" s="14"/>
      <c r="D22" s="14"/>
      <c r="E22" s="14"/>
      <c r="F22" s="14"/>
      <c r="G22" s="21"/>
      <c r="H22" s="21"/>
      <c r="I22" s="21"/>
      <c r="J22" s="21"/>
      <c r="K22" s="21"/>
      <c r="L22" s="21"/>
      <c r="M22" s="21"/>
      <c r="N22" s="21"/>
      <c r="O22" s="14"/>
      <c r="P22" s="14"/>
    </row>
    <row r="23" spans="1:16">
      <c r="A23" s="14"/>
      <c r="B23" s="14"/>
      <c r="C23" s="14"/>
      <c r="D23" s="14"/>
      <c r="E23" s="14"/>
      <c r="F23" s="14"/>
      <c r="G23" s="21"/>
      <c r="H23" s="21"/>
      <c r="I23" s="21"/>
      <c r="J23" s="21"/>
      <c r="K23" s="21"/>
      <c r="L23" s="21"/>
      <c r="M23" s="21"/>
      <c r="N23" s="21"/>
      <c r="O23" s="14"/>
      <c r="P23" s="14"/>
    </row>
    <row r="24" spans="1:16">
      <c r="A24" s="14"/>
      <c r="B24" s="14"/>
      <c r="C24" s="14"/>
      <c r="D24" s="14"/>
      <c r="E24" s="14"/>
      <c r="F24" s="14"/>
      <c r="G24" s="21"/>
      <c r="H24" s="21"/>
      <c r="I24" s="21"/>
      <c r="J24" s="21"/>
      <c r="K24" s="21"/>
      <c r="L24" s="21"/>
      <c r="M24" s="21"/>
      <c r="N24" s="21"/>
      <c r="O24" s="14"/>
      <c r="P24" s="14"/>
    </row>
    <row r="25" spans="1:16" ht="15.75" thickBo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</row>
    <row r="26" spans="1:16" ht="15.75" thickBot="1">
      <c r="A26" s="14"/>
      <c r="B26" s="1" t="s">
        <v>71</v>
      </c>
      <c r="C26" s="2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6" ht="15.75" thickBo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</row>
    <row r="28" spans="1:16" ht="15.75" thickBot="1">
      <c r="A28" s="14"/>
      <c r="B28" s="2" t="s">
        <v>10</v>
      </c>
      <c r="C28" s="24"/>
      <c r="D28" s="17"/>
      <c r="E28" s="17"/>
      <c r="F28" s="17" t="s">
        <v>78</v>
      </c>
      <c r="G28" s="17"/>
      <c r="H28" s="17"/>
      <c r="I28" s="17"/>
      <c r="J28" s="17"/>
      <c r="K28" s="17"/>
      <c r="L28" s="17"/>
      <c r="M28" s="17"/>
      <c r="N28" s="14"/>
      <c r="O28" s="14"/>
      <c r="P28" s="14"/>
    </row>
    <row r="29" spans="1:16">
      <c r="A29" s="21"/>
      <c r="B29" s="21"/>
      <c r="C29" s="21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4"/>
      <c r="O29" s="14"/>
      <c r="P29" s="14"/>
    </row>
    <row r="30" spans="1:16">
      <c r="A30" s="21"/>
      <c r="B30" s="17" t="s">
        <v>73</v>
      </c>
      <c r="C30" s="17" t="s">
        <v>77</v>
      </c>
      <c r="D30" s="17"/>
      <c r="E30" s="21"/>
      <c r="F30" s="17"/>
      <c r="G30" s="17"/>
      <c r="H30" s="17"/>
      <c r="I30" s="17"/>
      <c r="J30" s="17"/>
      <c r="K30" s="17"/>
      <c r="L30" s="17"/>
      <c r="M30" s="17"/>
      <c r="N30" s="14"/>
      <c r="O30" s="14"/>
      <c r="P30" s="14"/>
    </row>
    <row r="31" spans="1:16">
      <c r="A31" s="21"/>
      <c r="B31" s="17" t="str">
        <f>IF(ISERROR(VLOOKUP(C26,'CONTROLE DE CHAMADOS'!$G$3:$I$2051,2,0)),"Sem Resposta",VLOOKUP(C26,'CONTROLE DE CHAMADOS'!$G$3:$I$2051,2,0))</f>
        <v>Sem Resposta</v>
      </c>
      <c r="C31" s="17" t="e">
        <f>IF(C33="INFORMAÇÃO ERRADA!",C33,B31)</f>
        <v>#N/A</v>
      </c>
      <c r="D31" s="17"/>
      <c r="E31" s="21"/>
      <c r="F31" s="17"/>
      <c r="G31" s="17"/>
      <c r="H31" s="17"/>
      <c r="I31" s="17"/>
      <c r="J31" s="17"/>
      <c r="K31" s="17"/>
      <c r="L31" s="17"/>
      <c r="M31" s="17"/>
      <c r="N31" s="14"/>
      <c r="O31" s="14"/>
      <c r="P31" s="14"/>
    </row>
    <row r="32" spans="1:16">
      <c r="A32" s="21"/>
      <c r="B32" s="17" t="s">
        <v>76</v>
      </c>
      <c r="C32" s="17" t="s">
        <v>77</v>
      </c>
      <c r="D32" s="17"/>
      <c r="E32" s="21"/>
      <c r="F32" s="17"/>
      <c r="G32" s="17"/>
      <c r="H32" s="17"/>
      <c r="I32" s="17"/>
      <c r="J32" s="17"/>
      <c r="K32" s="17"/>
      <c r="L32" s="17"/>
      <c r="M32" s="17"/>
      <c r="N32" s="14"/>
      <c r="O32" s="14"/>
      <c r="P32" s="14"/>
    </row>
    <row r="33" spans="1:16">
      <c r="A33" s="21"/>
      <c r="B33" s="17" t="str">
        <f>IF(ISERROR(VLOOKUP(C26,'CONTROLE DE CHAMADOS'!$G$3:$I$2070,3,0)),"Sem Resposta",VLOOKUP(C26,'CONTROLE DE CHAMADOS'!$G$3:$I$2070,3,0))</f>
        <v>Sem Resposta</v>
      </c>
      <c r="C33" s="17" t="e">
        <f>IF(C26=VLOOKUP(C28,'CONTROLE DE CHAMADOS'!D:G,4,0),B33,"INFORMAÇÃO ERRADA!")</f>
        <v>#N/A</v>
      </c>
      <c r="D33" s="17"/>
      <c r="E33" s="21"/>
      <c r="F33" s="17"/>
      <c r="G33" s="17"/>
      <c r="H33" s="17"/>
      <c r="I33" s="17"/>
      <c r="J33" s="17"/>
      <c r="K33" s="17"/>
      <c r="L33" s="17"/>
      <c r="M33" s="17"/>
      <c r="N33" s="14"/>
      <c r="O33" s="14"/>
      <c r="P33" s="14"/>
    </row>
    <row r="34" spans="1:16" s="23" customFormat="1" hidden="1">
      <c r="A34" s="21"/>
      <c r="B34" s="21"/>
      <c r="C34" s="20" t="s">
        <v>73</v>
      </c>
      <c r="D34" s="20" t="s">
        <v>72</v>
      </c>
      <c r="E34" s="21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</row>
    <row r="35" spans="1:16" s="23" customFormat="1" hidden="1">
      <c r="A35" s="21"/>
      <c r="B35" s="20"/>
      <c r="C35" s="21" t="e">
        <f>VLOOKUP(C26,'CONTROLE DE CHAMADOS'!G3:I2075,2,0)</f>
        <v>#N/A</v>
      </c>
      <c r="D35" s="21" t="e">
        <f>VLOOKUP(C26,'CONTROLE DE CHAMADOS'!G3:I2075,3,0)</f>
        <v>#N/A</v>
      </c>
      <c r="E35" s="21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</row>
    <row r="36" spans="1:16" s="23" customFormat="1">
      <c r="A36" s="21"/>
      <c r="B36" s="21"/>
      <c r="C36" s="21"/>
      <c r="D36" s="21"/>
      <c r="E36" s="21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</row>
    <row r="37" spans="1:16">
      <c r="A37" s="14"/>
      <c r="B37" s="21"/>
      <c r="C37" s="21"/>
      <c r="D37" s="21"/>
      <c r="E37" s="21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</row>
    <row r="38" spans="1:16">
      <c r="A38" s="14"/>
      <c r="B38" s="21"/>
      <c r="C38" s="21"/>
      <c r="D38" s="21"/>
      <c r="E38" s="21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</row>
    <row r="39" spans="1:16">
      <c r="A39" s="14"/>
      <c r="B39" s="21"/>
      <c r="C39" s="21"/>
      <c r="D39" s="21"/>
      <c r="E39" s="21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</row>
    <row r="40" spans="1:16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</row>
    <row r="41" spans="1:16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</row>
  </sheetData>
  <sheetProtection password="B5DB" sheet="1" objects="1" scenarios="1" selectLockedCells="1"/>
  <mergeCells count="1">
    <mergeCell ref="C4:M14"/>
  </mergeCells>
  <dataValidations count="2">
    <dataValidation type="list" allowBlank="1" showInputMessage="1" showErrorMessage="1" sqref="C2">
      <formula1>area</formula1>
    </dataValidation>
    <dataValidation type="list" allowBlank="1" showInputMessage="1" showErrorMessage="1" sqref="F16">
      <formula1>operador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'BANCO DE DADOS'!$A$3:$A$8</xm:f>
          </x14:formula1>
          <xm:sqref>C2</xm:sqref>
        </x14:dataValidation>
        <x14:dataValidation type="list" allowBlank="1" showInputMessage="1" showErrorMessage="1">
          <x14:formula1>
            <xm:f>'BANCO DE DADOS'!$C$3:$C$170</xm:f>
          </x14:formula1>
          <xm:sqref>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"/>
  <sheetViews>
    <sheetView workbookViewId="0">
      <selection activeCell="C2" sqref="C2"/>
    </sheetView>
  </sheetViews>
  <sheetFormatPr defaultColWidth="9.140625" defaultRowHeight="15"/>
  <cols>
    <col min="1" max="16384" width="9.140625" style="25"/>
  </cols>
  <sheetData/>
  <sheetProtection password="B5DB" sheet="1" objects="1" scenarios="1" selectLockedCells="1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2:K123"/>
  <sheetViews>
    <sheetView workbookViewId="0">
      <pane ySplit="3" topLeftCell="A4" activePane="bottomLeft" state="frozen"/>
      <selection pane="bottomLeft" activeCell="A5" sqref="A5"/>
    </sheetView>
  </sheetViews>
  <sheetFormatPr defaultColWidth="9.140625" defaultRowHeight="15"/>
  <cols>
    <col min="1" max="1" width="17.5703125" style="28" bestFit="1" customWidth="1"/>
    <col min="2" max="2" width="16.42578125" style="29" bestFit="1" customWidth="1"/>
    <col min="3" max="3" width="18.85546875" style="28" bestFit="1" customWidth="1"/>
    <col min="4" max="4" width="7" style="28" bestFit="1" customWidth="1"/>
    <col min="5" max="5" width="21.5703125" style="28" bestFit="1" customWidth="1"/>
    <col min="6" max="6" width="22.140625" style="28" bestFit="1" customWidth="1"/>
    <col min="7" max="7" width="20.5703125" style="28" bestFit="1" customWidth="1"/>
    <col min="8" max="9" width="9.140625" style="30"/>
    <col min="10" max="16384" width="9.140625" style="28"/>
  </cols>
  <sheetData>
    <row r="2" spans="1:11" hidden="1">
      <c r="A2" s="28">
        <f>CHAMADOS!$C$2</f>
        <v>0</v>
      </c>
      <c r="B2" s="29">
        <f ca="1">CHAMADOS!$C$18</f>
        <v>42034.059768055558</v>
      </c>
      <c r="C2" s="28">
        <f>CHAMADOS!$F$16</f>
        <v>0</v>
      </c>
      <c r="D2" s="28" t="str">
        <f>CHAMADOS!$I$16</f>
        <v/>
      </c>
      <c r="E2" s="28">
        <f>CHAMADOS!$C$16</f>
        <v>0</v>
      </c>
      <c r="F2" s="28" t="str">
        <f>descrição</f>
        <v>Obrigado!</v>
      </c>
      <c r="G2" s="28">
        <f>INDEX(G3:G2099,3,1)</f>
        <v>47</v>
      </c>
    </row>
    <row r="3" spans="1:11">
      <c r="A3" s="31" t="s">
        <v>0</v>
      </c>
      <c r="B3" s="32" t="s">
        <v>3</v>
      </c>
      <c r="C3" s="31" t="s">
        <v>9</v>
      </c>
      <c r="D3" s="31" t="s">
        <v>10</v>
      </c>
      <c r="E3" s="31" t="s">
        <v>2</v>
      </c>
      <c r="F3" s="31" t="s">
        <v>1</v>
      </c>
      <c r="G3" s="33" t="s">
        <v>69</v>
      </c>
      <c r="H3" s="34" t="s">
        <v>70</v>
      </c>
      <c r="I3" s="34" t="s">
        <v>76</v>
      </c>
    </row>
    <row r="4" spans="1:11">
      <c r="A4" s="31"/>
      <c r="B4" s="32"/>
      <c r="C4" s="31"/>
      <c r="D4" s="31"/>
      <c r="E4" s="31"/>
      <c r="F4" s="31"/>
      <c r="G4" s="33"/>
      <c r="H4" s="34"/>
      <c r="I4" s="34"/>
    </row>
    <row r="5" spans="1:11">
      <c r="A5" s="31" t="s">
        <v>8</v>
      </c>
      <c r="B5" s="32">
        <v>42034.059731597219</v>
      </c>
      <c r="C5" s="31" t="s">
        <v>53</v>
      </c>
      <c r="D5" s="31">
        <v>104130</v>
      </c>
      <c r="E5" s="31">
        <v>63265</v>
      </c>
      <c r="F5" s="31" t="s">
        <v>166</v>
      </c>
      <c r="G5" s="33">
        <f>G6+1</f>
        <v>47</v>
      </c>
      <c r="H5" s="34" t="s">
        <v>163</v>
      </c>
      <c r="I5" s="34"/>
    </row>
    <row r="6" spans="1:11">
      <c r="A6" s="31" t="s">
        <v>8</v>
      </c>
      <c r="B6" s="32">
        <v>42034.058537731478</v>
      </c>
      <c r="C6" s="31" t="s">
        <v>68</v>
      </c>
      <c r="D6" s="31">
        <v>121963</v>
      </c>
      <c r="E6" s="31">
        <v>63251</v>
      </c>
      <c r="F6" s="31" t="s">
        <v>165</v>
      </c>
      <c r="G6" s="33">
        <f>G7+1</f>
        <v>46</v>
      </c>
      <c r="H6" s="34" t="s">
        <v>163</v>
      </c>
      <c r="I6" s="34"/>
    </row>
    <row r="7" spans="1:11">
      <c r="A7" s="31" t="s">
        <v>5</v>
      </c>
      <c r="B7" s="32">
        <v>42033.182674884258</v>
      </c>
      <c r="C7" s="31" t="s">
        <v>58</v>
      </c>
      <c r="D7" s="31">
        <v>60791</v>
      </c>
      <c r="E7" s="31">
        <v>3249</v>
      </c>
      <c r="F7" s="31" t="s">
        <v>164</v>
      </c>
      <c r="G7" s="33">
        <f>G8+1</f>
        <v>45</v>
      </c>
      <c r="H7" s="34" t="s">
        <v>163</v>
      </c>
      <c r="I7" s="34"/>
    </row>
    <row r="8" spans="1:11">
      <c r="A8" s="31" t="s">
        <v>8</v>
      </c>
      <c r="B8" s="32">
        <v>42028.279532754626</v>
      </c>
      <c r="C8" s="31" t="s">
        <v>20</v>
      </c>
      <c r="D8" s="31">
        <v>137422</v>
      </c>
      <c r="E8" s="31">
        <v>0</v>
      </c>
      <c r="F8" s="31" t="s">
        <v>162</v>
      </c>
      <c r="G8" s="33">
        <f>G9+1</f>
        <v>44</v>
      </c>
      <c r="H8" s="34" t="s">
        <v>163</v>
      </c>
      <c r="I8" s="34"/>
    </row>
    <row r="9" spans="1:11">
      <c r="A9" s="38" t="s">
        <v>6</v>
      </c>
      <c r="B9" s="39">
        <v>42018.893416203704</v>
      </c>
      <c r="C9" s="38" t="s">
        <v>45</v>
      </c>
      <c r="D9" s="38">
        <v>147665</v>
      </c>
      <c r="E9" s="38">
        <v>0</v>
      </c>
      <c r="F9" s="38" t="s">
        <v>149</v>
      </c>
      <c r="G9" s="38">
        <f>G10+1</f>
        <v>43</v>
      </c>
      <c r="H9" s="40" t="s">
        <v>155</v>
      </c>
      <c r="I9" s="40" t="s">
        <v>156</v>
      </c>
    </row>
    <row r="10" spans="1:11">
      <c r="A10" s="41" t="s">
        <v>5</v>
      </c>
      <c r="B10" s="37">
        <v>42018.364271180559</v>
      </c>
      <c r="C10" s="41" t="s">
        <v>15</v>
      </c>
      <c r="D10" s="41">
        <v>135225</v>
      </c>
      <c r="E10" s="41" t="s">
        <v>148</v>
      </c>
      <c r="F10" s="41" t="s">
        <v>147</v>
      </c>
      <c r="G10" s="41">
        <f t="shared" ref="G10:G15" si="0">G11+1</f>
        <v>42</v>
      </c>
      <c r="H10" s="42" t="s">
        <v>82</v>
      </c>
      <c r="I10" s="42"/>
      <c r="J10" s="43"/>
      <c r="K10" s="43"/>
    </row>
    <row r="11" spans="1:11">
      <c r="A11" s="41">
        <v>0</v>
      </c>
      <c r="B11" s="37">
        <v>42017.98334953704</v>
      </c>
      <c r="C11" s="41" t="s">
        <v>55</v>
      </c>
      <c r="D11" s="41">
        <v>132523</v>
      </c>
      <c r="E11" s="41">
        <v>63279</v>
      </c>
      <c r="F11" s="41" t="s">
        <v>146</v>
      </c>
      <c r="G11" s="41">
        <f t="shared" si="0"/>
        <v>41</v>
      </c>
      <c r="H11" s="42" t="s">
        <v>82</v>
      </c>
      <c r="I11" s="42" t="s">
        <v>154</v>
      </c>
    </row>
    <row r="12" spans="1:11">
      <c r="A12" s="38" t="s">
        <v>6</v>
      </c>
      <c r="B12" s="39">
        <v>42011.21397060185</v>
      </c>
      <c r="C12" s="38" t="s">
        <v>59</v>
      </c>
      <c r="D12" s="38">
        <v>149068</v>
      </c>
      <c r="E12" s="38">
        <v>0</v>
      </c>
      <c r="F12" s="38" t="s">
        <v>145</v>
      </c>
      <c r="G12" s="38">
        <f t="shared" si="0"/>
        <v>40</v>
      </c>
      <c r="H12" s="40" t="s">
        <v>153</v>
      </c>
      <c r="I12" s="40" t="s">
        <v>152</v>
      </c>
    </row>
    <row r="13" spans="1:11">
      <c r="A13" s="41" t="s">
        <v>6</v>
      </c>
      <c r="B13" s="37">
        <v>42011.04197002315</v>
      </c>
      <c r="C13" s="41" t="s">
        <v>52</v>
      </c>
      <c r="D13" s="41">
        <v>132516</v>
      </c>
      <c r="E13" s="41">
        <v>0</v>
      </c>
      <c r="F13" s="41" t="s">
        <v>144</v>
      </c>
      <c r="G13" s="41">
        <f t="shared" si="0"/>
        <v>39</v>
      </c>
      <c r="H13" s="42" t="s">
        <v>82</v>
      </c>
      <c r="I13" s="42" t="s">
        <v>151</v>
      </c>
    </row>
    <row r="14" spans="1:11">
      <c r="A14" s="41">
        <v>0</v>
      </c>
      <c r="B14" s="37">
        <v>42009.976604282405</v>
      </c>
      <c r="C14" s="41" t="s">
        <v>35</v>
      </c>
      <c r="D14" s="41">
        <v>143404</v>
      </c>
      <c r="E14" s="41">
        <v>0</v>
      </c>
      <c r="F14" s="41" t="s">
        <v>143</v>
      </c>
      <c r="G14" s="41">
        <f t="shared" si="0"/>
        <v>38</v>
      </c>
      <c r="H14" s="41" t="s">
        <v>82</v>
      </c>
      <c r="I14" s="42" t="s">
        <v>150</v>
      </c>
    </row>
    <row r="15" spans="1:11">
      <c r="A15" s="35" t="s">
        <v>5</v>
      </c>
      <c r="B15" s="37">
        <v>41996.029743402774</v>
      </c>
      <c r="C15" s="35" t="s">
        <v>28</v>
      </c>
      <c r="D15" s="35">
        <v>137449</v>
      </c>
      <c r="E15" s="35">
        <v>0</v>
      </c>
      <c r="F15" s="35" t="s">
        <v>141</v>
      </c>
      <c r="G15" s="35">
        <f t="shared" si="0"/>
        <v>37</v>
      </c>
      <c r="H15" s="35" t="s">
        <v>82</v>
      </c>
      <c r="I15" s="35" t="s">
        <v>142</v>
      </c>
    </row>
    <row r="16" spans="1:11">
      <c r="A16" s="41" t="s">
        <v>5</v>
      </c>
      <c r="B16" s="37">
        <v>41991.989256365741</v>
      </c>
      <c r="C16" s="41" t="s">
        <v>66</v>
      </c>
      <c r="D16" s="41">
        <v>133336</v>
      </c>
      <c r="E16" s="41">
        <v>3280</v>
      </c>
      <c r="F16" s="41" t="s">
        <v>134</v>
      </c>
      <c r="G16" s="41">
        <f t="shared" ref="G16:G21" si="1">G17+1</f>
        <v>36</v>
      </c>
      <c r="H16" s="42" t="s">
        <v>82</v>
      </c>
      <c r="I16" s="42" t="s">
        <v>161</v>
      </c>
    </row>
    <row r="17" spans="1:9">
      <c r="A17" s="41" t="s">
        <v>5</v>
      </c>
      <c r="B17" s="37">
        <v>41991.10946122685</v>
      </c>
      <c r="C17" s="41" t="s">
        <v>47</v>
      </c>
      <c r="D17" s="41">
        <v>135234</v>
      </c>
      <c r="E17" s="41">
        <v>63253</v>
      </c>
      <c r="F17" s="41" t="s">
        <v>133</v>
      </c>
      <c r="G17" s="41">
        <f t="shared" si="1"/>
        <v>35</v>
      </c>
      <c r="H17" s="42" t="s">
        <v>82</v>
      </c>
      <c r="I17" s="42" t="s">
        <v>161</v>
      </c>
    </row>
    <row r="18" spans="1:9">
      <c r="A18" s="35" t="s">
        <v>6</v>
      </c>
      <c r="B18" s="37">
        <v>41990.202000810183</v>
      </c>
      <c r="C18" s="35" t="s">
        <v>32</v>
      </c>
      <c r="D18" s="35">
        <v>137424</v>
      </c>
      <c r="E18" s="35">
        <v>0</v>
      </c>
      <c r="F18" s="35" t="s">
        <v>132</v>
      </c>
      <c r="G18" s="35">
        <f t="shared" si="1"/>
        <v>34</v>
      </c>
      <c r="H18" s="35" t="s">
        <v>135</v>
      </c>
      <c r="I18" s="35" t="s">
        <v>136</v>
      </c>
    </row>
    <row r="19" spans="1:9">
      <c r="A19" s="35" t="s">
        <v>6</v>
      </c>
      <c r="B19" s="37">
        <v>41990.043297337965</v>
      </c>
      <c r="C19" s="35" t="s">
        <v>25</v>
      </c>
      <c r="D19" s="35">
        <v>133014</v>
      </c>
      <c r="E19" s="35">
        <v>0</v>
      </c>
      <c r="F19" s="35" t="s">
        <v>131</v>
      </c>
      <c r="G19" s="35">
        <f t="shared" si="1"/>
        <v>33</v>
      </c>
      <c r="H19" s="35" t="s">
        <v>135</v>
      </c>
      <c r="I19" s="35" t="s">
        <v>137</v>
      </c>
    </row>
    <row r="20" spans="1:9">
      <c r="A20" s="38" t="s">
        <v>6</v>
      </c>
      <c r="B20" s="39">
        <v>41989.108912268515</v>
      </c>
      <c r="C20" s="38" t="s">
        <v>56</v>
      </c>
      <c r="D20" s="38">
        <v>132524</v>
      </c>
      <c r="E20" s="38">
        <v>0</v>
      </c>
      <c r="F20" s="38" t="s">
        <v>130</v>
      </c>
      <c r="G20" s="38">
        <f t="shared" si="1"/>
        <v>32</v>
      </c>
      <c r="H20" s="40" t="s">
        <v>100</v>
      </c>
      <c r="I20" s="40" t="s">
        <v>101</v>
      </c>
    </row>
    <row r="21" spans="1:9">
      <c r="A21" s="41" t="s">
        <v>5</v>
      </c>
      <c r="B21" s="37">
        <v>41989.051229861114</v>
      </c>
      <c r="C21" s="41" t="s">
        <v>62</v>
      </c>
      <c r="D21" s="41">
        <v>132527</v>
      </c>
      <c r="E21" s="41">
        <v>63284</v>
      </c>
      <c r="F21" s="41" t="s">
        <v>129</v>
      </c>
      <c r="G21" s="41">
        <f t="shared" si="1"/>
        <v>31</v>
      </c>
      <c r="H21" s="42" t="s">
        <v>82</v>
      </c>
      <c r="I21" s="42" t="s">
        <v>154</v>
      </c>
    </row>
    <row r="22" spans="1:9">
      <c r="A22" s="38" t="s">
        <v>6</v>
      </c>
      <c r="B22" s="39">
        <v>41989.027971875003</v>
      </c>
      <c r="C22" s="38" t="s">
        <v>59</v>
      </c>
      <c r="D22" s="38">
        <v>149068</v>
      </c>
      <c r="E22" s="38">
        <v>0</v>
      </c>
      <c r="F22" s="38" t="s">
        <v>128</v>
      </c>
      <c r="G22" s="38">
        <f t="shared" ref="G22:G27" si="2">G23+1</f>
        <v>30</v>
      </c>
      <c r="H22" s="40" t="s">
        <v>139</v>
      </c>
      <c r="I22" s="40" t="s">
        <v>140</v>
      </c>
    </row>
    <row r="23" spans="1:9">
      <c r="A23" s="35" t="s">
        <v>6</v>
      </c>
      <c r="B23" s="37">
        <v>41984.104844212961</v>
      </c>
      <c r="C23" s="35" t="s">
        <v>34</v>
      </c>
      <c r="D23" s="35">
        <v>116854</v>
      </c>
      <c r="E23" s="35">
        <v>0</v>
      </c>
      <c r="F23" s="35" t="s">
        <v>120</v>
      </c>
      <c r="G23" s="35">
        <f t="shared" si="2"/>
        <v>29</v>
      </c>
      <c r="H23" s="35" t="s">
        <v>82</v>
      </c>
      <c r="I23" s="35" t="s">
        <v>121</v>
      </c>
    </row>
    <row r="24" spans="1:9">
      <c r="A24" s="35" t="s">
        <v>5</v>
      </c>
      <c r="B24" s="37">
        <v>41983.022828240741</v>
      </c>
      <c r="C24" s="35" t="s">
        <v>27</v>
      </c>
      <c r="D24" s="35">
        <v>122142</v>
      </c>
      <c r="E24" s="35">
        <v>0</v>
      </c>
      <c r="F24" s="35" t="s">
        <v>119</v>
      </c>
      <c r="G24" s="35">
        <f t="shared" si="2"/>
        <v>28</v>
      </c>
      <c r="H24" s="35" t="s">
        <v>122</v>
      </c>
      <c r="I24" s="35" t="s">
        <v>123</v>
      </c>
    </row>
    <row r="25" spans="1:9">
      <c r="A25" s="35" t="s">
        <v>6</v>
      </c>
      <c r="B25" s="37">
        <v>41982.09265752315</v>
      </c>
      <c r="C25" s="35" t="s">
        <v>52</v>
      </c>
      <c r="D25" s="35">
        <v>132516</v>
      </c>
      <c r="E25" s="35">
        <v>0</v>
      </c>
      <c r="F25" s="35" t="s">
        <v>118</v>
      </c>
      <c r="G25" s="35">
        <f t="shared" si="2"/>
        <v>27</v>
      </c>
      <c r="H25" s="35" t="s">
        <v>82</v>
      </c>
      <c r="I25" s="35" t="s">
        <v>138</v>
      </c>
    </row>
    <row r="26" spans="1:9">
      <c r="A26" s="41" t="s">
        <v>6</v>
      </c>
      <c r="B26" s="37">
        <v>41982.000554513892</v>
      </c>
      <c r="C26" s="41" t="s">
        <v>50</v>
      </c>
      <c r="D26" s="41">
        <v>149042</v>
      </c>
      <c r="E26" s="41">
        <v>0</v>
      </c>
      <c r="F26" s="41" t="s">
        <v>117</v>
      </c>
      <c r="G26" s="41">
        <f t="shared" si="2"/>
        <v>26</v>
      </c>
      <c r="H26" s="42" t="s">
        <v>82</v>
      </c>
      <c r="I26" s="42" t="s">
        <v>160</v>
      </c>
    </row>
    <row r="27" spans="1:9">
      <c r="A27" s="35" t="s">
        <v>5</v>
      </c>
      <c r="B27" s="37">
        <v>41979.290225694444</v>
      </c>
      <c r="C27" s="35" t="s">
        <v>62</v>
      </c>
      <c r="D27" s="35">
        <v>132527</v>
      </c>
      <c r="E27" s="35">
        <v>63284</v>
      </c>
      <c r="F27" s="35" t="s">
        <v>114</v>
      </c>
      <c r="G27" s="35">
        <f t="shared" si="2"/>
        <v>25</v>
      </c>
      <c r="H27" s="35" t="s">
        <v>82</v>
      </c>
      <c r="I27" s="35" t="s">
        <v>116</v>
      </c>
    </row>
    <row r="28" spans="1:9">
      <c r="A28" s="35" t="s">
        <v>8</v>
      </c>
      <c r="B28" s="37">
        <v>41978.994089004627</v>
      </c>
      <c r="C28" s="35" t="s">
        <v>67</v>
      </c>
      <c r="D28" s="35">
        <v>75908</v>
      </c>
      <c r="E28" s="35">
        <v>63290</v>
      </c>
      <c r="F28" s="35" t="s">
        <v>113</v>
      </c>
      <c r="G28" s="35">
        <f t="shared" ref="G28:G33" si="3">G29+1</f>
        <v>24</v>
      </c>
      <c r="H28" s="35" t="s">
        <v>82</v>
      </c>
      <c r="I28" s="35" t="s">
        <v>124</v>
      </c>
    </row>
    <row r="29" spans="1:9">
      <c r="A29" s="41" t="s">
        <v>6</v>
      </c>
      <c r="B29" s="37">
        <v>41978.241270486113</v>
      </c>
      <c r="C29" s="41" t="s">
        <v>47</v>
      </c>
      <c r="D29" s="41">
        <v>135234</v>
      </c>
      <c r="E29" s="41">
        <v>63253</v>
      </c>
      <c r="F29" s="41" t="s">
        <v>112</v>
      </c>
      <c r="G29" s="41">
        <f t="shared" si="3"/>
        <v>23</v>
      </c>
      <c r="H29" s="42" t="s">
        <v>82</v>
      </c>
      <c r="I29" s="42" t="s">
        <v>159</v>
      </c>
    </row>
    <row r="30" spans="1:9">
      <c r="A30" s="35" t="s">
        <v>8</v>
      </c>
      <c r="B30" s="37">
        <v>41978.193802430556</v>
      </c>
      <c r="C30" s="35" t="s">
        <v>55</v>
      </c>
      <c r="D30" s="35">
        <v>132523</v>
      </c>
      <c r="E30" s="35">
        <v>63279</v>
      </c>
      <c r="F30" s="35" t="s">
        <v>111</v>
      </c>
      <c r="G30" s="35">
        <f t="shared" si="3"/>
        <v>22</v>
      </c>
      <c r="H30" s="35" t="s">
        <v>82</v>
      </c>
      <c r="I30" s="35" t="s">
        <v>125</v>
      </c>
    </row>
    <row r="31" spans="1:9">
      <c r="A31" s="35" t="s">
        <v>6</v>
      </c>
      <c r="B31" s="37">
        <v>41977.99612210648</v>
      </c>
      <c r="C31" s="35" t="s">
        <v>110</v>
      </c>
      <c r="D31" s="35">
        <v>137487</v>
      </c>
      <c r="E31" s="35">
        <v>0</v>
      </c>
      <c r="F31" s="35" t="s">
        <v>109</v>
      </c>
      <c r="G31" s="35">
        <f t="shared" si="3"/>
        <v>21</v>
      </c>
      <c r="H31" s="35" t="s">
        <v>126</v>
      </c>
      <c r="I31" s="35" t="s">
        <v>115</v>
      </c>
    </row>
    <row r="32" spans="1:9">
      <c r="A32" s="35" t="s">
        <v>6</v>
      </c>
      <c r="B32" s="37">
        <v>41974.980975231483</v>
      </c>
      <c r="C32" s="35" t="s">
        <v>45</v>
      </c>
      <c r="D32" s="35">
        <v>147665</v>
      </c>
      <c r="E32" s="35">
        <v>0</v>
      </c>
      <c r="F32" s="35" t="s">
        <v>103</v>
      </c>
      <c r="G32" s="35">
        <f t="shared" si="3"/>
        <v>20</v>
      </c>
      <c r="H32" s="36" t="s">
        <v>106</v>
      </c>
      <c r="I32" s="36"/>
    </row>
    <row r="33" spans="1:9">
      <c r="A33" s="41" t="s">
        <v>5</v>
      </c>
      <c r="B33" s="37">
        <v>41972.289932175925</v>
      </c>
      <c r="C33" s="41" t="s">
        <v>40</v>
      </c>
      <c r="D33" s="41">
        <v>147847</v>
      </c>
      <c r="E33" s="41">
        <v>0</v>
      </c>
      <c r="F33" s="41" t="s">
        <v>96</v>
      </c>
      <c r="G33" s="41">
        <f t="shared" si="3"/>
        <v>19</v>
      </c>
      <c r="H33" s="42" t="s">
        <v>82</v>
      </c>
      <c r="I33" s="42" t="s">
        <v>158</v>
      </c>
    </row>
    <row r="34" spans="1:9">
      <c r="A34" s="35" t="s">
        <v>6</v>
      </c>
      <c r="B34" s="37">
        <v>41972.284739930554</v>
      </c>
      <c r="C34" s="35" t="s">
        <v>48</v>
      </c>
      <c r="D34" s="35">
        <v>149635</v>
      </c>
      <c r="E34" s="35">
        <v>0</v>
      </c>
      <c r="F34" s="35" t="s">
        <v>95</v>
      </c>
      <c r="G34" s="35">
        <f t="shared" ref="G34:G39" si="4">G35+1</f>
        <v>18</v>
      </c>
      <c r="H34" s="36" t="s">
        <v>82</v>
      </c>
      <c r="I34" s="36" t="s">
        <v>107</v>
      </c>
    </row>
    <row r="35" spans="1:9">
      <c r="A35" s="35" t="s">
        <v>81</v>
      </c>
      <c r="B35" s="37">
        <v>41972.280633680559</v>
      </c>
      <c r="C35" s="35" t="s">
        <v>81</v>
      </c>
      <c r="D35" s="35">
        <v>2495</v>
      </c>
      <c r="E35" s="35">
        <v>63281</v>
      </c>
      <c r="F35" s="35" t="s">
        <v>81</v>
      </c>
      <c r="G35" s="35">
        <f t="shared" si="4"/>
        <v>17</v>
      </c>
      <c r="H35" s="36" t="s">
        <v>82</v>
      </c>
      <c r="I35" s="36"/>
    </row>
    <row r="36" spans="1:9">
      <c r="A36" s="38" t="s">
        <v>6</v>
      </c>
      <c r="B36" s="39">
        <v>41972.254220254632</v>
      </c>
      <c r="C36" s="38" t="s">
        <v>92</v>
      </c>
      <c r="D36" s="38" t="e">
        <v>#N/A</v>
      </c>
      <c r="E36" s="38">
        <v>0</v>
      </c>
      <c r="F36" s="38" t="s">
        <v>93</v>
      </c>
      <c r="G36" s="38">
        <f t="shared" si="4"/>
        <v>16</v>
      </c>
      <c r="H36" s="40" t="s">
        <v>102</v>
      </c>
      <c r="I36" s="40" t="s">
        <v>127</v>
      </c>
    </row>
    <row r="37" spans="1:9">
      <c r="A37" s="35" t="s">
        <v>6</v>
      </c>
      <c r="B37" s="37">
        <v>41972.205285185184</v>
      </c>
      <c r="C37" s="35" t="s">
        <v>46</v>
      </c>
      <c r="D37" s="35">
        <v>116880</v>
      </c>
      <c r="E37" s="35">
        <v>0</v>
      </c>
      <c r="F37" s="35" t="s">
        <v>79</v>
      </c>
      <c r="G37" s="35">
        <f t="shared" si="4"/>
        <v>15</v>
      </c>
      <c r="H37" s="36" t="s">
        <v>82</v>
      </c>
      <c r="I37" s="36" t="s">
        <v>97</v>
      </c>
    </row>
    <row r="38" spans="1:9">
      <c r="A38" s="38" t="s">
        <v>6</v>
      </c>
      <c r="B38" s="39">
        <v>41972.197418981479</v>
      </c>
      <c r="C38" s="38" t="s">
        <v>91</v>
      </c>
      <c r="D38" s="38" t="e">
        <v>#N/A</v>
      </c>
      <c r="E38" s="38">
        <v>0</v>
      </c>
      <c r="F38" s="38" t="s">
        <v>90</v>
      </c>
      <c r="G38" s="38">
        <f t="shared" si="4"/>
        <v>14</v>
      </c>
      <c r="H38" s="40" t="s">
        <v>98</v>
      </c>
      <c r="I38" s="40" t="s">
        <v>99</v>
      </c>
    </row>
    <row r="39" spans="1:9">
      <c r="A39" s="38" t="s">
        <v>6</v>
      </c>
      <c r="B39" s="39">
        <v>41972.180035300924</v>
      </c>
      <c r="C39" s="38" t="s">
        <v>52</v>
      </c>
      <c r="D39" s="38">
        <v>132516</v>
      </c>
      <c r="E39" s="38">
        <v>63282</v>
      </c>
      <c r="F39" s="38" t="s">
        <v>89</v>
      </c>
      <c r="G39" s="38">
        <f t="shared" si="4"/>
        <v>13</v>
      </c>
      <c r="H39" s="40" t="s">
        <v>100</v>
      </c>
      <c r="I39" s="40" t="s">
        <v>101</v>
      </c>
    </row>
    <row r="40" spans="1:9">
      <c r="A40" s="35" t="s">
        <v>5</v>
      </c>
      <c r="B40" s="37">
        <v>41972.061590509256</v>
      </c>
      <c r="C40" s="35" t="s">
        <v>18</v>
      </c>
      <c r="D40" s="35">
        <v>147688</v>
      </c>
      <c r="E40" s="35">
        <v>0</v>
      </c>
      <c r="F40" s="35" t="s">
        <v>86</v>
      </c>
      <c r="G40" s="35">
        <f t="shared" ref="G40:G45" si="5">G41+1</f>
        <v>12</v>
      </c>
      <c r="H40" s="36" t="s">
        <v>82</v>
      </c>
      <c r="I40" s="36" t="s">
        <v>88</v>
      </c>
    </row>
    <row r="41" spans="1:9">
      <c r="A41" s="35" t="s">
        <v>6</v>
      </c>
      <c r="B41" s="37">
        <v>41972.033879166665</v>
      </c>
      <c r="C41" s="35" t="s">
        <v>45</v>
      </c>
      <c r="D41" s="35">
        <v>147665</v>
      </c>
      <c r="E41" s="35">
        <v>0</v>
      </c>
      <c r="F41" s="35" t="s">
        <v>85</v>
      </c>
      <c r="G41" s="35">
        <f t="shared" si="5"/>
        <v>11</v>
      </c>
      <c r="H41" s="36" t="s">
        <v>104</v>
      </c>
      <c r="I41" s="36" t="s">
        <v>105</v>
      </c>
    </row>
    <row r="42" spans="1:9">
      <c r="A42" s="35" t="s">
        <v>81</v>
      </c>
      <c r="B42" s="37">
        <v>41972.023946527777</v>
      </c>
      <c r="C42" s="35" t="s">
        <v>81</v>
      </c>
      <c r="D42" s="35">
        <v>2495</v>
      </c>
      <c r="E42" s="35">
        <v>0</v>
      </c>
      <c r="F42" s="35" t="s">
        <v>81</v>
      </c>
      <c r="G42" s="35">
        <f t="shared" si="5"/>
        <v>10</v>
      </c>
      <c r="H42" s="36" t="s">
        <v>82</v>
      </c>
      <c r="I42" s="36"/>
    </row>
    <row r="43" spans="1:9">
      <c r="A43" s="41" t="s">
        <v>6</v>
      </c>
      <c r="B43" s="37">
        <v>41972.010144328706</v>
      </c>
      <c r="C43" s="41" t="s">
        <v>32</v>
      </c>
      <c r="D43" s="41">
        <v>137424</v>
      </c>
      <c r="E43" s="41">
        <v>0</v>
      </c>
      <c r="F43" s="41" t="s">
        <v>84</v>
      </c>
      <c r="G43" s="41">
        <f t="shared" si="5"/>
        <v>9</v>
      </c>
      <c r="H43" s="42" t="s">
        <v>82</v>
      </c>
      <c r="I43" s="42" t="s">
        <v>157</v>
      </c>
    </row>
    <row r="44" spans="1:9">
      <c r="A44" s="35" t="s">
        <v>6</v>
      </c>
      <c r="B44" s="37">
        <v>41972.004352662036</v>
      </c>
      <c r="C44" s="35" t="s">
        <v>46</v>
      </c>
      <c r="D44" s="35">
        <v>116880</v>
      </c>
      <c r="E44" s="35">
        <v>0</v>
      </c>
      <c r="F44" s="35" t="s">
        <v>83</v>
      </c>
      <c r="G44" s="35">
        <f t="shared" si="5"/>
        <v>8</v>
      </c>
      <c r="H44" s="36" t="s">
        <v>82</v>
      </c>
      <c r="I44" s="36" t="s">
        <v>108</v>
      </c>
    </row>
    <row r="45" spans="1:9">
      <c r="A45" s="35" t="s">
        <v>6</v>
      </c>
      <c r="B45" s="37">
        <v>41971.285180439816</v>
      </c>
      <c r="C45" s="35" t="s">
        <v>15</v>
      </c>
      <c r="D45" s="35">
        <v>135225</v>
      </c>
      <c r="E45" s="35">
        <v>0</v>
      </c>
      <c r="F45" s="35" t="s">
        <v>80</v>
      </c>
      <c r="G45" s="35">
        <f t="shared" si="5"/>
        <v>7</v>
      </c>
      <c r="H45" s="36" t="s">
        <v>82</v>
      </c>
      <c r="I45" s="36" t="s">
        <v>87</v>
      </c>
    </row>
    <row r="46" spans="1:9">
      <c r="A46" s="35" t="s">
        <v>81</v>
      </c>
      <c r="B46" s="37">
        <v>41971.119102546298</v>
      </c>
      <c r="C46" s="35" t="s">
        <v>81</v>
      </c>
      <c r="D46" s="35">
        <v>2495</v>
      </c>
      <c r="E46" s="35">
        <v>0</v>
      </c>
      <c r="F46" s="35" t="s">
        <v>81</v>
      </c>
      <c r="G46" s="35">
        <f t="shared" ref="G46:G51" si="6">G47+1</f>
        <v>6</v>
      </c>
      <c r="H46" s="36" t="s">
        <v>82</v>
      </c>
      <c r="I46" s="36"/>
    </row>
    <row r="47" spans="1:9">
      <c r="A47" s="35" t="s">
        <v>81</v>
      </c>
      <c r="B47" s="37">
        <v>41971.103013310189</v>
      </c>
      <c r="C47" s="35" t="s">
        <v>81</v>
      </c>
      <c r="D47" s="35">
        <v>2495</v>
      </c>
      <c r="E47" s="35">
        <v>0</v>
      </c>
      <c r="F47" s="35" t="s">
        <v>81</v>
      </c>
      <c r="G47" s="35">
        <f t="shared" si="6"/>
        <v>5</v>
      </c>
      <c r="H47" s="36" t="s">
        <v>82</v>
      </c>
      <c r="I47" s="36"/>
    </row>
    <row r="48" spans="1:9">
      <c r="A48" s="35" t="s">
        <v>81</v>
      </c>
      <c r="B48" s="37">
        <v>41971.087032986114</v>
      </c>
      <c r="C48" s="35" t="s">
        <v>81</v>
      </c>
      <c r="D48" s="35">
        <v>2495</v>
      </c>
      <c r="E48" s="35">
        <v>0</v>
      </c>
      <c r="F48" s="35" t="s">
        <v>81</v>
      </c>
      <c r="G48" s="35">
        <f t="shared" si="6"/>
        <v>4</v>
      </c>
      <c r="H48" s="36" t="s">
        <v>82</v>
      </c>
      <c r="I48" s="36"/>
    </row>
    <row r="49" spans="1:9">
      <c r="A49" s="35" t="s">
        <v>81</v>
      </c>
      <c r="B49" s="37">
        <v>41971.074801157411</v>
      </c>
      <c r="C49" s="35" t="s">
        <v>81</v>
      </c>
      <c r="D49" s="35">
        <v>2495</v>
      </c>
      <c r="E49" s="35">
        <v>0</v>
      </c>
      <c r="F49" s="35" t="s">
        <v>81</v>
      </c>
      <c r="G49" s="35">
        <f t="shared" si="6"/>
        <v>3</v>
      </c>
      <c r="H49" s="36" t="s">
        <v>82</v>
      </c>
      <c r="I49" s="36"/>
    </row>
    <row r="50" spans="1:9">
      <c r="A50" s="35" t="s">
        <v>81</v>
      </c>
      <c r="B50" s="37">
        <v>41971.06373263889</v>
      </c>
      <c r="C50" s="35" t="s">
        <v>81</v>
      </c>
      <c r="D50" s="35">
        <v>2495</v>
      </c>
      <c r="E50" s="35">
        <v>0</v>
      </c>
      <c r="F50" s="35" t="s">
        <v>81</v>
      </c>
      <c r="G50" s="35">
        <f t="shared" si="6"/>
        <v>2</v>
      </c>
      <c r="H50" s="36" t="s">
        <v>82</v>
      </c>
      <c r="I50" s="36"/>
    </row>
    <row r="51" spans="1:9">
      <c r="A51" s="35" t="s">
        <v>81</v>
      </c>
      <c r="B51" s="37">
        <v>41971.051817129628</v>
      </c>
      <c r="C51" s="35" t="s">
        <v>81</v>
      </c>
      <c r="D51" s="35">
        <v>2495</v>
      </c>
      <c r="E51" s="35">
        <v>0</v>
      </c>
      <c r="F51" s="35" t="s">
        <v>81</v>
      </c>
      <c r="G51" s="35">
        <f t="shared" si="6"/>
        <v>1</v>
      </c>
      <c r="H51" s="36" t="s">
        <v>82</v>
      </c>
      <c r="I51" s="36"/>
    </row>
    <row r="52" spans="1:9">
      <c r="A52" s="31"/>
      <c r="B52" s="32"/>
      <c r="C52" s="31"/>
      <c r="D52" s="31"/>
      <c r="E52" s="31"/>
      <c r="F52" s="31"/>
      <c r="G52" s="33"/>
      <c r="H52" s="34"/>
      <c r="I52" s="34"/>
    </row>
    <row r="53" spans="1:9">
      <c r="A53" s="31"/>
      <c r="B53" s="32"/>
      <c r="C53" s="31"/>
      <c r="D53" s="31"/>
      <c r="E53" s="31"/>
      <c r="F53" s="31"/>
      <c r="G53" s="33"/>
      <c r="H53" s="34"/>
      <c r="I53" s="34"/>
    </row>
    <row r="54" spans="1:9">
      <c r="A54" s="31"/>
      <c r="B54" s="32"/>
      <c r="C54" s="31"/>
      <c r="D54" s="31"/>
      <c r="E54" s="31"/>
      <c r="F54" s="31"/>
      <c r="G54" s="33"/>
      <c r="H54" s="34"/>
      <c r="I54" s="34"/>
    </row>
    <row r="55" spans="1:9">
      <c r="A55" s="31"/>
      <c r="B55" s="32"/>
      <c r="C55" s="31"/>
      <c r="D55" s="31"/>
      <c r="E55" s="31"/>
      <c r="F55" s="31"/>
      <c r="G55" s="33"/>
      <c r="H55" s="34"/>
      <c r="I55" s="34"/>
    </row>
    <row r="56" spans="1:9">
      <c r="A56" s="31"/>
      <c r="B56" s="32"/>
      <c r="C56" s="31"/>
      <c r="D56" s="31"/>
      <c r="E56" s="31"/>
      <c r="F56" s="31"/>
      <c r="G56" s="33"/>
      <c r="H56" s="34"/>
      <c r="I56" s="34"/>
    </row>
    <row r="57" spans="1:9">
      <c r="A57" s="31"/>
      <c r="B57" s="32"/>
      <c r="C57" s="31"/>
      <c r="D57" s="31"/>
      <c r="E57" s="31"/>
      <c r="F57" s="31"/>
      <c r="G57" s="33"/>
      <c r="H57" s="34"/>
      <c r="I57" s="34"/>
    </row>
    <row r="58" spans="1:9">
      <c r="A58" s="31"/>
      <c r="B58" s="32"/>
      <c r="C58" s="31"/>
      <c r="D58" s="31"/>
      <c r="E58" s="31"/>
      <c r="F58" s="31"/>
      <c r="G58" s="33"/>
      <c r="H58" s="34"/>
      <c r="I58" s="34"/>
    </row>
    <row r="59" spans="1:9">
      <c r="A59" s="31"/>
      <c r="B59" s="32"/>
      <c r="C59" s="31"/>
      <c r="D59" s="31"/>
      <c r="E59" s="31"/>
      <c r="F59" s="31"/>
      <c r="G59" s="33"/>
      <c r="H59" s="34"/>
      <c r="I59" s="34"/>
    </row>
    <row r="60" spans="1:9">
      <c r="A60" s="31"/>
      <c r="B60" s="32"/>
      <c r="C60" s="31"/>
      <c r="D60" s="31"/>
      <c r="E60" s="31"/>
      <c r="F60" s="31"/>
      <c r="G60" s="33"/>
      <c r="H60" s="34"/>
      <c r="I60" s="34"/>
    </row>
    <row r="61" spans="1:9">
      <c r="A61" s="31"/>
      <c r="B61" s="32"/>
      <c r="C61" s="31"/>
      <c r="D61" s="31"/>
      <c r="E61" s="31"/>
      <c r="F61" s="31"/>
      <c r="G61" s="33"/>
      <c r="H61" s="34"/>
      <c r="I61" s="34"/>
    </row>
    <row r="62" spans="1:9">
      <c r="A62" s="31"/>
      <c r="B62" s="32"/>
      <c r="C62" s="31"/>
      <c r="D62" s="31"/>
      <c r="E62" s="31"/>
      <c r="F62" s="31"/>
      <c r="G62" s="33"/>
      <c r="H62" s="34"/>
      <c r="I62" s="34"/>
    </row>
    <row r="63" spans="1:9">
      <c r="A63" s="31"/>
      <c r="B63" s="32"/>
      <c r="C63" s="31"/>
      <c r="D63" s="31"/>
      <c r="E63" s="31"/>
      <c r="F63" s="31"/>
      <c r="G63" s="33"/>
      <c r="H63" s="34"/>
      <c r="I63" s="34"/>
    </row>
    <row r="64" spans="1:9">
      <c r="A64" s="31"/>
      <c r="B64" s="32"/>
      <c r="C64" s="31"/>
      <c r="D64" s="31"/>
      <c r="E64" s="31"/>
      <c r="F64" s="31"/>
      <c r="G64" s="33"/>
      <c r="H64" s="34"/>
      <c r="I64" s="34"/>
    </row>
    <row r="65" spans="1:9">
      <c r="A65" s="31"/>
      <c r="B65" s="32"/>
      <c r="C65" s="31"/>
      <c r="D65" s="31"/>
      <c r="E65" s="31"/>
      <c r="F65" s="31"/>
      <c r="G65" s="33"/>
      <c r="H65" s="34"/>
      <c r="I65" s="34"/>
    </row>
    <row r="66" spans="1:9">
      <c r="A66" s="31"/>
      <c r="B66" s="32"/>
      <c r="C66" s="31"/>
      <c r="D66" s="31"/>
      <c r="E66" s="31"/>
      <c r="F66" s="31"/>
      <c r="G66" s="33"/>
      <c r="H66" s="34"/>
      <c r="I66" s="34"/>
    </row>
    <row r="67" spans="1:9">
      <c r="A67" s="31"/>
      <c r="B67" s="32"/>
      <c r="C67" s="31"/>
      <c r="D67" s="31"/>
      <c r="E67" s="31"/>
      <c r="F67" s="31"/>
      <c r="G67" s="33"/>
      <c r="H67" s="34"/>
      <c r="I67" s="34"/>
    </row>
    <row r="68" spans="1:9">
      <c r="A68" s="31"/>
      <c r="B68" s="32"/>
      <c r="C68" s="31"/>
      <c r="D68" s="31"/>
      <c r="E68" s="31"/>
      <c r="F68" s="31"/>
      <c r="G68" s="33"/>
      <c r="H68" s="34"/>
      <c r="I68" s="34"/>
    </row>
    <row r="69" spans="1:9">
      <c r="A69" s="31"/>
      <c r="B69" s="32"/>
      <c r="C69" s="31"/>
      <c r="D69" s="31"/>
      <c r="E69" s="31"/>
      <c r="F69" s="31"/>
      <c r="G69" s="33"/>
      <c r="H69" s="34"/>
      <c r="I69" s="34"/>
    </row>
    <row r="70" spans="1:9">
      <c r="A70" s="31"/>
      <c r="B70" s="32"/>
      <c r="C70" s="31"/>
      <c r="D70" s="31"/>
      <c r="E70" s="31"/>
      <c r="F70" s="31"/>
      <c r="G70" s="33"/>
      <c r="H70" s="34"/>
      <c r="I70" s="34"/>
    </row>
    <row r="71" spans="1:9">
      <c r="A71" s="31"/>
      <c r="B71" s="32"/>
      <c r="C71" s="31"/>
      <c r="D71" s="31"/>
      <c r="E71" s="31"/>
      <c r="F71" s="31"/>
      <c r="G71" s="33"/>
      <c r="H71" s="34"/>
      <c r="I71" s="34"/>
    </row>
    <row r="72" spans="1:9">
      <c r="A72" s="31"/>
      <c r="B72" s="32"/>
      <c r="C72" s="31"/>
      <c r="D72" s="31"/>
      <c r="E72" s="31"/>
      <c r="F72" s="31"/>
      <c r="G72" s="33"/>
      <c r="H72" s="34"/>
      <c r="I72" s="34"/>
    </row>
    <row r="73" spans="1:9">
      <c r="A73" s="31"/>
      <c r="B73" s="32"/>
      <c r="C73" s="31"/>
      <c r="D73" s="31"/>
      <c r="E73" s="31"/>
      <c r="F73" s="31"/>
      <c r="G73" s="33"/>
      <c r="H73" s="34"/>
      <c r="I73" s="34"/>
    </row>
    <row r="74" spans="1:9">
      <c r="A74" s="31"/>
      <c r="C74" s="31"/>
      <c r="D74" s="31"/>
      <c r="E74" s="31"/>
      <c r="F74" s="31"/>
      <c r="G74" s="33"/>
      <c r="H74" s="34"/>
      <c r="I74" s="34"/>
    </row>
    <row r="75" spans="1:9">
      <c r="A75" s="31"/>
      <c r="B75" s="32"/>
      <c r="C75" s="31"/>
      <c r="D75" s="31"/>
      <c r="E75" s="31"/>
      <c r="F75" s="31"/>
      <c r="G75" s="33"/>
      <c r="H75" s="34"/>
      <c r="I75" s="34"/>
    </row>
    <row r="76" spans="1:9">
      <c r="A76" s="31"/>
      <c r="B76" s="32"/>
      <c r="C76" s="31"/>
      <c r="D76" s="31"/>
      <c r="E76" s="31"/>
      <c r="F76" s="31"/>
      <c r="G76" s="33"/>
      <c r="H76" s="34"/>
      <c r="I76" s="34"/>
    </row>
    <row r="77" spans="1:9">
      <c r="A77" s="31"/>
      <c r="B77" s="32"/>
      <c r="C77" s="31"/>
      <c r="D77" s="31"/>
      <c r="E77" s="31"/>
      <c r="F77" s="31"/>
      <c r="G77" s="33"/>
      <c r="H77" s="34"/>
      <c r="I77" s="34"/>
    </row>
    <row r="78" spans="1:9">
      <c r="A78" s="31"/>
      <c r="B78" s="32"/>
      <c r="C78" s="31"/>
      <c r="D78" s="31"/>
      <c r="E78" s="31"/>
      <c r="F78" s="31"/>
      <c r="G78" s="33"/>
      <c r="H78" s="34"/>
      <c r="I78" s="34"/>
    </row>
    <row r="79" spans="1:9">
      <c r="A79" s="31"/>
      <c r="B79" s="32"/>
      <c r="C79" s="31"/>
      <c r="D79" s="31"/>
      <c r="E79" s="31"/>
      <c r="F79" s="31"/>
      <c r="G79" s="33"/>
      <c r="H79" s="34"/>
      <c r="I79" s="34"/>
    </row>
    <row r="80" spans="1:9">
      <c r="A80" s="31"/>
      <c r="B80" s="32"/>
      <c r="C80" s="31"/>
      <c r="D80" s="31"/>
      <c r="E80" s="31"/>
      <c r="F80" s="31"/>
      <c r="G80" s="33"/>
      <c r="H80" s="34"/>
      <c r="I80" s="34"/>
    </row>
    <row r="81" spans="1:8">
      <c r="A81" s="31"/>
      <c r="B81" s="32"/>
      <c r="C81" s="31"/>
      <c r="D81" s="31"/>
      <c r="E81" s="31"/>
      <c r="F81" s="31"/>
      <c r="G81" s="33"/>
      <c r="H81" s="34"/>
    </row>
    <row r="82" spans="1:8">
      <c r="A82" s="31"/>
      <c r="B82" s="32"/>
      <c r="C82" s="31"/>
      <c r="D82" s="31"/>
      <c r="E82" s="31"/>
      <c r="F82" s="31"/>
      <c r="G82" s="33"/>
      <c r="H82" s="34"/>
    </row>
    <row r="83" spans="1:8">
      <c r="A83" s="31"/>
      <c r="B83" s="32"/>
      <c r="C83" s="31"/>
      <c r="D83" s="31"/>
      <c r="E83" s="31"/>
      <c r="F83" s="31"/>
      <c r="G83" s="33"/>
      <c r="H83" s="34"/>
    </row>
    <row r="85" spans="1:8">
      <c r="A85" s="31"/>
      <c r="B85" s="32"/>
      <c r="C85" s="31"/>
      <c r="D85" s="31"/>
      <c r="E85" s="31"/>
      <c r="F85" s="31"/>
      <c r="G85" s="33"/>
      <c r="H85" s="34"/>
    </row>
    <row r="86" spans="1:8">
      <c r="A86" s="31"/>
      <c r="B86" s="32"/>
      <c r="C86" s="31"/>
      <c r="D86" s="31"/>
      <c r="E86" s="31"/>
      <c r="F86" s="31"/>
      <c r="G86" s="33"/>
      <c r="H86" s="34"/>
    </row>
    <row r="87" spans="1:8">
      <c r="A87" s="31"/>
      <c r="B87" s="32"/>
      <c r="C87" s="31"/>
      <c r="D87" s="31"/>
      <c r="E87" s="31"/>
      <c r="F87" s="31"/>
      <c r="G87" s="33"/>
      <c r="H87" s="34"/>
    </row>
    <row r="88" spans="1:8">
      <c r="A88" s="31"/>
      <c r="B88" s="32"/>
      <c r="C88" s="31"/>
      <c r="D88" s="31"/>
      <c r="E88" s="31"/>
      <c r="F88" s="31"/>
      <c r="G88" s="33"/>
      <c r="H88" s="34"/>
    </row>
    <row r="89" spans="1:8">
      <c r="A89" s="31"/>
      <c r="B89" s="32"/>
      <c r="C89" s="31"/>
      <c r="D89" s="31"/>
      <c r="E89" s="31"/>
      <c r="F89" s="31"/>
      <c r="G89" s="33"/>
      <c r="H89" s="34"/>
    </row>
    <row r="90" spans="1:8">
      <c r="A90" s="31"/>
      <c r="B90" s="32"/>
      <c r="C90" s="31"/>
      <c r="D90" s="31"/>
      <c r="E90" s="31"/>
      <c r="F90" s="31"/>
      <c r="G90" s="33"/>
      <c r="H90" s="34"/>
    </row>
    <row r="91" spans="1:8">
      <c r="A91" s="31"/>
      <c r="B91" s="32"/>
      <c r="C91" s="31"/>
      <c r="D91" s="31"/>
      <c r="E91" s="31"/>
      <c r="F91" s="31"/>
      <c r="G91" s="33"/>
      <c r="H91" s="34"/>
    </row>
    <row r="92" spans="1:8">
      <c r="A92" s="31"/>
      <c r="B92" s="32"/>
      <c r="C92" s="31"/>
      <c r="D92" s="31"/>
      <c r="E92" s="31"/>
      <c r="F92" s="31"/>
      <c r="G92" s="33"/>
      <c r="H92" s="34"/>
    </row>
    <row r="93" spans="1:8">
      <c r="A93" s="31"/>
      <c r="B93" s="32"/>
      <c r="C93" s="31"/>
      <c r="D93" s="31"/>
      <c r="E93" s="31"/>
      <c r="F93" s="31"/>
      <c r="G93" s="33"/>
      <c r="H93" s="34"/>
    </row>
    <row r="94" spans="1:8">
      <c r="A94" s="31"/>
      <c r="B94" s="32"/>
      <c r="C94" s="31"/>
      <c r="D94" s="31"/>
      <c r="E94" s="31"/>
      <c r="F94" s="31"/>
      <c r="G94" s="33"/>
      <c r="H94" s="34"/>
    </row>
    <row r="95" spans="1:8">
      <c r="A95" s="31"/>
      <c r="B95" s="32"/>
      <c r="C95" s="31"/>
      <c r="D95" s="31"/>
      <c r="E95" s="31"/>
      <c r="F95" s="31"/>
      <c r="G95" s="33"/>
      <c r="H95" s="34"/>
    </row>
    <row r="96" spans="1:8">
      <c r="A96" s="31"/>
      <c r="B96" s="32"/>
      <c r="C96" s="31"/>
      <c r="D96" s="31"/>
      <c r="E96" s="31"/>
      <c r="F96" s="31"/>
      <c r="G96" s="33"/>
      <c r="H96" s="34"/>
    </row>
    <row r="97" spans="1:8">
      <c r="A97" s="31"/>
      <c r="B97" s="32"/>
      <c r="C97" s="31"/>
      <c r="D97" s="31"/>
      <c r="E97" s="31"/>
      <c r="F97" s="31"/>
      <c r="G97" s="33"/>
      <c r="H97" s="34"/>
    </row>
    <row r="98" spans="1:8">
      <c r="A98" s="31"/>
      <c r="B98" s="32"/>
      <c r="C98" s="31"/>
      <c r="D98" s="31"/>
      <c r="E98" s="31"/>
      <c r="F98" s="31"/>
      <c r="G98" s="33"/>
      <c r="H98" s="34"/>
    </row>
    <row r="99" spans="1:8">
      <c r="A99" s="31"/>
      <c r="B99" s="32"/>
      <c r="C99" s="31"/>
      <c r="D99" s="31"/>
      <c r="E99" s="31"/>
      <c r="F99" s="31"/>
      <c r="G99" s="33"/>
      <c r="H99" s="34"/>
    </row>
    <row r="100" spans="1:8">
      <c r="A100" s="31"/>
      <c r="B100" s="32"/>
      <c r="C100" s="31"/>
      <c r="D100" s="31"/>
      <c r="E100" s="31"/>
      <c r="F100" s="31"/>
      <c r="G100" s="33"/>
      <c r="H100" s="34"/>
    </row>
    <row r="101" spans="1:8">
      <c r="A101" s="31"/>
      <c r="B101" s="32"/>
      <c r="C101" s="31"/>
      <c r="D101" s="31"/>
      <c r="E101" s="31"/>
      <c r="F101" s="31"/>
      <c r="G101" s="33"/>
      <c r="H101" s="34"/>
    </row>
    <row r="102" spans="1:8">
      <c r="A102" s="31"/>
      <c r="B102" s="32"/>
      <c r="C102" s="31"/>
      <c r="D102" s="31"/>
      <c r="E102" s="31"/>
      <c r="F102" s="31"/>
      <c r="G102" s="33"/>
      <c r="H102" s="34"/>
    </row>
    <row r="103" spans="1:8">
      <c r="A103" s="31"/>
      <c r="B103" s="32"/>
      <c r="C103" s="31"/>
      <c r="D103" s="31"/>
      <c r="E103" s="31"/>
      <c r="F103" s="31"/>
      <c r="G103" s="33"/>
      <c r="H103" s="34"/>
    </row>
    <row r="104" spans="1:8">
      <c r="A104" s="31"/>
      <c r="B104" s="32"/>
      <c r="C104" s="31"/>
      <c r="D104" s="31"/>
      <c r="E104" s="31"/>
      <c r="F104" s="31"/>
      <c r="G104" s="33"/>
      <c r="H104" s="34"/>
    </row>
    <row r="105" spans="1:8">
      <c r="A105" s="31"/>
      <c r="B105" s="32"/>
      <c r="C105" s="31"/>
      <c r="D105" s="31"/>
      <c r="E105" s="31"/>
      <c r="F105" s="31"/>
      <c r="G105" s="33"/>
      <c r="H105" s="34"/>
    </row>
    <row r="106" spans="1:8">
      <c r="A106" s="31"/>
      <c r="B106" s="32"/>
      <c r="C106" s="31"/>
      <c r="D106" s="31"/>
      <c r="E106" s="31"/>
      <c r="F106" s="31"/>
      <c r="G106" s="33"/>
      <c r="H106" s="34"/>
    </row>
    <row r="107" spans="1:8">
      <c r="A107" s="31"/>
      <c r="B107" s="32"/>
      <c r="C107" s="31"/>
      <c r="D107" s="31"/>
      <c r="E107" s="31"/>
      <c r="F107" s="31"/>
      <c r="G107" s="33"/>
      <c r="H107" s="34"/>
    </row>
    <row r="108" spans="1:8">
      <c r="A108" s="31"/>
      <c r="B108" s="32"/>
      <c r="C108" s="31"/>
      <c r="D108" s="31"/>
      <c r="E108" s="31"/>
      <c r="F108" s="31"/>
      <c r="G108" s="33"/>
      <c r="H108" s="34"/>
    </row>
    <row r="109" spans="1:8">
      <c r="A109" s="31"/>
      <c r="B109" s="32"/>
      <c r="C109" s="31"/>
      <c r="D109" s="31"/>
      <c r="E109" s="31"/>
      <c r="F109" s="31"/>
      <c r="G109" s="33"/>
      <c r="H109" s="34"/>
    </row>
    <row r="110" spans="1:8">
      <c r="A110" s="31"/>
      <c r="B110" s="32"/>
      <c r="C110" s="31"/>
      <c r="D110" s="31"/>
      <c r="E110" s="31"/>
      <c r="F110" s="31"/>
      <c r="G110" s="33"/>
      <c r="H110" s="34"/>
    </row>
    <row r="111" spans="1:8">
      <c r="A111" s="31"/>
      <c r="B111" s="32"/>
      <c r="C111" s="31"/>
      <c r="D111" s="31"/>
      <c r="E111" s="31"/>
      <c r="F111" s="31"/>
      <c r="G111" s="33"/>
      <c r="H111" s="34"/>
    </row>
    <row r="112" spans="1:8">
      <c r="A112" s="31"/>
      <c r="B112" s="32"/>
      <c r="C112" s="31"/>
      <c r="D112" s="31"/>
      <c r="E112" s="31"/>
      <c r="F112" s="31"/>
      <c r="G112" s="33"/>
      <c r="H112" s="34"/>
    </row>
    <row r="113" spans="1:8">
      <c r="A113" s="31"/>
      <c r="B113" s="32"/>
      <c r="C113" s="31"/>
      <c r="D113" s="31"/>
      <c r="E113" s="31"/>
      <c r="F113" s="31"/>
      <c r="G113" s="33"/>
      <c r="H113" s="34"/>
    </row>
    <row r="114" spans="1:8">
      <c r="A114" s="31"/>
      <c r="B114" s="32"/>
      <c r="C114" s="31"/>
      <c r="D114" s="31"/>
      <c r="E114" s="31"/>
      <c r="F114" s="31"/>
      <c r="G114" s="33"/>
      <c r="H114" s="34"/>
    </row>
    <row r="115" spans="1:8">
      <c r="A115" s="31"/>
      <c r="B115" s="32"/>
      <c r="C115" s="31"/>
      <c r="D115" s="31"/>
      <c r="E115" s="31"/>
      <c r="F115" s="31"/>
      <c r="G115" s="33"/>
      <c r="H115" s="34"/>
    </row>
    <row r="116" spans="1:8">
      <c r="A116" s="31"/>
      <c r="B116" s="32"/>
      <c r="C116" s="31"/>
      <c r="D116" s="31"/>
      <c r="E116" s="31"/>
      <c r="F116" s="31"/>
      <c r="G116" s="33"/>
      <c r="H116" s="34"/>
    </row>
    <row r="117" spans="1:8">
      <c r="A117" s="31"/>
      <c r="B117" s="32"/>
      <c r="C117" s="31"/>
      <c r="D117" s="31"/>
      <c r="E117" s="31"/>
      <c r="F117" s="31"/>
      <c r="G117" s="33"/>
      <c r="H117" s="34"/>
    </row>
    <row r="118" spans="1:8">
      <c r="A118" s="31"/>
      <c r="B118" s="32"/>
      <c r="C118" s="31"/>
      <c r="D118" s="31"/>
      <c r="E118" s="31"/>
      <c r="F118" s="31"/>
      <c r="G118" s="33"/>
      <c r="H118" s="34"/>
    </row>
    <row r="119" spans="1:8">
      <c r="A119" s="31"/>
      <c r="B119" s="32"/>
      <c r="C119" s="31"/>
      <c r="D119" s="31"/>
      <c r="E119" s="31"/>
      <c r="F119" s="31"/>
      <c r="G119" s="33"/>
      <c r="H119" s="34"/>
    </row>
    <row r="120" spans="1:8">
      <c r="A120" s="31"/>
      <c r="B120" s="32"/>
      <c r="C120" s="31"/>
      <c r="D120" s="31"/>
      <c r="E120" s="31"/>
      <c r="F120" s="31"/>
      <c r="G120" s="33"/>
      <c r="H120" s="34"/>
    </row>
    <row r="121" spans="1:8">
      <c r="A121" s="31"/>
      <c r="B121" s="32"/>
      <c r="C121" s="31"/>
      <c r="D121" s="31"/>
      <c r="E121" s="31"/>
      <c r="F121" s="31"/>
      <c r="G121" s="33"/>
      <c r="H121" s="34"/>
    </row>
    <row r="122" spans="1:8">
      <c r="A122" s="31"/>
      <c r="B122" s="32"/>
      <c r="C122" s="31"/>
      <c r="D122" s="31"/>
      <c r="E122" s="31"/>
      <c r="F122" s="31"/>
    </row>
    <row r="123" spans="1:8">
      <c r="A123" s="31"/>
      <c r="B123" s="32"/>
      <c r="C123" s="31"/>
      <c r="D123" s="31"/>
      <c r="E123" s="31"/>
      <c r="F123" s="3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I170"/>
  <sheetViews>
    <sheetView workbookViewId="0">
      <selection activeCell="C2" sqref="C2:C170"/>
    </sheetView>
  </sheetViews>
  <sheetFormatPr defaultRowHeight="15"/>
  <cols>
    <col min="1" max="1" width="17.5703125" bestFit="1" customWidth="1"/>
    <col min="3" max="3" width="42.85546875" bestFit="1" customWidth="1"/>
  </cols>
  <sheetData>
    <row r="1" spans="1:9" ht="15.75" thickBot="1">
      <c r="H1" s="18"/>
      <c r="I1" s="18"/>
    </row>
    <row r="2" spans="1:9" ht="15.75" thickBot="1">
      <c r="A2" s="4" t="s">
        <v>0</v>
      </c>
      <c r="B2" s="6" t="s">
        <v>11</v>
      </c>
      <c r="C2" s="12" t="s">
        <v>14</v>
      </c>
      <c r="D2" s="7" t="s">
        <v>11</v>
      </c>
    </row>
    <row r="3" spans="1:9" ht="15.75" thickBot="1">
      <c r="A3" s="2" t="s">
        <v>94</v>
      </c>
      <c r="B3" s="8">
        <v>135225</v>
      </c>
      <c r="C3" s="5" t="s">
        <v>15</v>
      </c>
      <c r="D3" s="9">
        <f t="shared" ref="D3:D34" si="0">B3</f>
        <v>135225</v>
      </c>
    </row>
    <row r="4" spans="1:9" ht="15.75" thickBot="1">
      <c r="A4" s="2" t="s">
        <v>4</v>
      </c>
      <c r="B4" s="8">
        <v>132507</v>
      </c>
      <c r="C4" s="5" t="s">
        <v>16</v>
      </c>
      <c r="D4" s="9">
        <f t="shared" si="0"/>
        <v>132507</v>
      </c>
    </row>
    <row r="5" spans="1:9" ht="15.75" thickBot="1">
      <c r="A5" s="2" t="s">
        <v>5</v>
      </c>
      <c r="B5" s="8">
        <v>137496</v>
      </c>
      <c r="C5" s="5" t="s">
        <v>17</v>
      </c>
      <c r="D5" s="9">
        <f t="shared" si="0"/>
        <v>137496</v>
      </c>
    </row>
    <row r="6" spans="1:9" ht="15.75" thickBot="1">
      <c r="A6" s="2" t="s">
        <v>6</v>
      </c>
      <c r="B6" s="8">
        <v>137448</v>
      </c>
      <c r="C6" s="5" t="s">
        <v>12</v>
      </c>
      <c r="D6" s="9">
        <f t="shared" si="0"/>
        <v>137448</v>
      </c>
    </row>
    <row r="7" spans="1:9" ht="15.75" thickBot="1">
      <c r="A7" s="2" t="s">
        <v>7</v>
      </c>
      <c r="B7" s="8">
        <v>132508</v>
      </c>
      <c r="C7" s="5" t="s">
        <v>13</v>
      </c>
      <c r="D7" s="9">
        <f t="shared" si="0"/>
        <v>132508</v>
      </c>
    </row>
    <row r="8" spans="1:9" ht="15.75" thickBot="1">
      <c r="A8" s="2" t="s">
        <v>8</v>
      </c>
      <c r="B8" s="8">
        <v>147688</v>
      </c>
      <c r="C8" s="5" t="s">
        <v>18</v>
      </c>
      <c r="D8" s="9">
        <f t="shared" si="0"/>
        <v>147688</v>
      </c>
    </row>
    <row r="9" spans="1:9">
      <c r="B9" s="8">
        <v>137482</v>
      </c>
      <c r="C9" s="5" t="s">
        <v>19</v>
      </c>
      <c r="D9" s="9">
        <f t="shared" si="0"/>
        <v>137482</v>
      </c>
    </row>
    <row r="10" spans="1:9">
      <c r="B10" s="8">
        <v>137422</v>
      </c>
      <c r="C10" s="5" t="s">
        <v>20</v>
      </c>
      <c r="D10" s="9">
        <f t="shared" si="0"/>
        <v>137422</v>
      </c>
    </row>
    <row r="11" spans="1:9">
      <c r="B11" s="8">
        <v>137490</v>
      </c>
      <c r="C11" s="5" t="s">
        <v>21</v>
      </c>
      <c r="D11" s="9">
        <f t="shared" si="0"/>
        <v>137490</v>
      </c>
    </row>
    <row r="12" spans="1:9">
      <c r="B12" s="8">
        <v>99981</v>
      </c>
      <c r="C12" s="5" t="s">
        <v>22</v>
      </c>
      <c r="D12" s="9">
        <f t="shared" si="0"/>
        <v>99981</v>
      </c>
    </row>
    <row r="13" spans="1:9">
      <c r="B13" s="8">
        <v>142783</v>
      </c>
      <c r="C13" s="5" t="s">
        <v>23</v>
      </c>
      <c r="D13" s="9">
        <f t="shared" si="0"/>
        <v>142783</v>
      </c>
    </row>
    <row r="14" spans="1:9">
      <c r="B14" s="8">
        <v>133149</v>
      </c>
      <c r="C14" s="5" t="s">
        <v>24</v>
      </c>
      <c r="D14" s="9">
        <f t="shared" si="0"/>
        <v>133149</v>
      </c>
    </row>
    <row r="15" spans="1:9">
      <c r="B15" s="8">
        <v>133014</v>
      </c>
      <c r="C15" s="5" t="s">
        <v>25</v>
      </c>
      <c r="D15" s="9">
        <f t="shared" si="0"/>
        <v>133014</v>
      </c>
    </row>
    <row r="16" spans="1:9">
      <c r="B16" s="8">
        <v>137429</v>
      </c>
      <c r="C16" s="5" t="s">
        <v>26</v>
      </c>
      <c r="D16" s="9">
        <f t="shared" si="0"/>
        <v>137429</v>
      </c>
    </row>
    <row r="17" spans="2:4">
      <c r="B17" s="8">
        <v>122142</v>
      </c>
      <c r="C17" s="5" t="s">
        <v>27</v>
      </c>
      <c r="D17" s="9">
        <f t="shared" si="0"/>
        <v>122142</v>
      </c>
    </row>
    <row r="18" spans="2:4">
      <c r="B18" s="8">
        <v>137449</v>
      </c>
      <c r="C18" s="5" t="s">
        <v>28</v>
      </c>
      <c r="D18" s="9">
        <f t="shared" si="0"/>
        <v>137449</v>
      </c>
    </row>
    <row r="19" spans="2:4">
      <c r="B19" s="8">
        <v>63819</v>
      </c>
      <c r="C19" s="5" t="s">
        <v>29</v>
      </c>
      <c r="D19" s="9">
        <f t="shared" si="0"/>
        <v>63819</v>
      </c>
    </row>
    <row r="20" spans="2:4">
      <c r="B20" s="8">
        <v>76286</v>
      </c>
      <c r="C20" s="5" t="s">
        <v>30</v>
      </c>
      <c r="D20" s="9">
        <f t="shared" si="0"/>
        <v>76286</v>
      </c>
    </row>
    <row r="21" spans="2:4">
      <c r="B21" s="8">
        <v>2586</v>
      </c>
      <c r="C21" s="5" t="s">
        <v>31</v>
      </c>
      <c r="D21" s="9">
        <f t="shared" si="0"/>
        <v>2586</v>
      </c>
    </row>
    <row r="22" spans="2:4">
      <c r="B22" s="8">
        <v>137424</v>
      </c>
      <c r="C22" s="5" t="s">
        <v>32</v>
      </c>
      <c r="D22" s="9">
        <f t="shared" si="0"/>
        <v>137424</v>
      </c>
    </row>
    <row r="23" spans="2:4">
      <c r="B23" s="8">
        <v>2495</v>
      </c>
      <c r="C23" s="5" t="s">
        <v>33</v>
      </c>
      <c r="D23" s="9">
        <f t="shared" si="0"/>
        <v>2495</v>
      </c>
    </row>
    <row r="24" spans="2:4">
      <c r="B24" s="8">
        <v>116854</v>
      </c>
      <c r="C24" s="5" t="s">
        <v>34</v>
      </c>
      <c r="D24" s="9">
        <f t="shared" si="0"/>
        <v>116854</v>
      </c>
    </row>
    <row r="25" spans="2:4">
      <c r="B25" s="8">
        <v>143404</v>
      </c>
      <c r="C25" s="5" t="s">
        <v>35</v>
      </c>
      <c r="D25" s="9">
        <f t="shared" si="0"/>
        <v>143404</v>
      </c>
    </row>
    <row r="26" spans="2:4">
      <c r="B26" s="8">
        <v>142802</v>
      </c>
      <c r="C26" s="5" t="s">
        <v>36</v>
      </c>
      <c r="D26" s="9">
        <f t="shared" si="0"/>
        <v>142802</v>
      </c>
    </row>
    <row r="27" spans="2:4">
      <c r="B27" s="8">
        <v>137487</v>
      </c>
      <c r="C27" s="5" t="s">
        <v>37</v>
      </c>
      <c r="D27" s="9">
        <f t="shared" si="0"/>
        <v>137487</v>
      </c>
    </row>
    <row r="28" spans="2:4">
      <c r="B28" s="8">
        <v>141297</v>
      </c>
      <c r="C28" s="5" t="s">
        <v>38</v>
      </c>
      <c r="D28" s="9">
        <f t="shared" si="0"/>
        <v>141297</v>
      </c>
    </row>
    <row r="29" spans="2:4">
      <c r="B29" s="8">
        <v>122217</v>
      </c>
      <c r="C29" s="5" t="s">
        <v>39</v>
      </c>
      <c r="D29" s="9">
        <f t="shared" si="0"/>
        <v>122217</v>
      </c>
    </row>
    <row r="30" spans="2:4">
      <c r="B30" s="8">
        <v>147847</v>
      </c>
      <c r="C30" s="5" t="s">
        <v>40</v>
      </c>
      <c r="D30" s="9">
        <f t="shared" si="0"/>
        <v>147847</v>
      </c>
    </row>
    <row r="31" spans="2:4">
      <c r="B31" s="8">
        <v>136834</v>
      </c>
      <c r="C31" s="5" t="s">
        <v>41</v>
      </c>
      <c r="D31" s="9">
        <f t="shared" si="0"/>
        <v>136834</v>
      </c>
    </row>
    <row r="32" spans="2:4">
      <c r="B32" s="8">
        <v>135226</v>
      </c>
      <c r="C32" s="5" t="s">
        <v>42</v>
      </c>
      <c r="D32" s="9">
        <f t="shared" si="0"/>
        <v>135226</v>
      </c>
    </row>
    <row r="33" spans="2:4">
      <c r="B33" s="8">
        <v>135232</v>
      </c>
      <c r="C33" s="5" t="s">
        <v>43</v>
      </c>
      <c r="D33" s="9">
        <f t="shared" si="0"/>
        <v>135232</v>
      </c>
    </row>
    <row r="34" spans="2:4">
      <c r="B34" s="8">
        <v>133026</v>
      </c>
      <c r="C34" s="5" t="s">
        <v>44</v>
      </c>
      <c r="D34" s="9">
        <f t="shared" si="0"/>
        <v>133026</v>
      </c>
    </row>
    <row r="35" spans="2:4">
      <c r="B35" s="8">
        <v>147665</v>
      </c>
      <c r="C35" s="5" t="s">
        <v>45</v>
      </c>
      <c r="D35" s="9">
        <f t="shared" ref="D35:D66" si="1">B35</f>
        <v>147665</v>
      </c>
    </row>
    <row r="36" spans="2:4">
      <c r="B36" s="8">
        <v>116880</v>
      </c>
      <c r="C36" s="5" t="s">
        <v>46</v>
      </c>
      <c r="D36" s="9">
        <f t="shared" si="1"/>
        <v>116880</v>
      </c>
    </row>
    <row r="37" spans="2:4">
      <c r="B37" s="8">
        <v>135234</v>
      </c>
      <c r="C37" s="5" t="s">
        <v>47</v>
      </c>
      <c r="D37" s="9">
        <f t="shared" si="1"/>
        <v>135234</v>
      </c>
    </row>
    <row r="38" spans="2:4">
      <c r="B38" s="8">
        <v>149635</v>
      </c>
      <c r="C38" s="5" t="s">
        <v>48</v>
      </c>
      <c r="D38" s="9">
        <f t="shared" si="1"/>
        <v>149635</v>
      </c>
    </row>
    <row r="39" spans="2:4">
      <c r="B39" s="8">
        <v>137479</v>
      </c>
      <c r="C39" s="5" t="s">
        <v>49</v>
      </c>
      <c r="D39" s="9">
        <f t="shared" si="1"/>
        <v>137479</v>
      </c>
    </row>
    <row r="40" spans="2:4">
      <c r="B40" s="8">
        <v>149042</v>
      </c>
      <c r="C40" s="5" t="s">
        <v>50</v>
      </c>
      <c r="D40" s="9">
        <f t="shared" si="1"/>
        <v>149042</v>
      </c>
    </row>
    <row r="41" spans="2:4">
      <c r="B41" s="8">
        <v>137458</v>
      </c>
      <c r="C41" s="5" t="s">
        <v>51</v>
      </c>
      <c r="D41" s="9">
        <f t="shared" si="1"/>
        <v>137458</v>
      </c>
    </row>
    <row r="42" spans="2:4">
      <c r="B42" s="8">
        <v>132516</v>
      </c>
      <c r="C42" s="5" t="s">
        <v>52</v>
      </c>
      <c r="D42" s="9">
        <f t="shared" si="1"/>
        <v>132516</v>
      </c>
    </row>
    <row r="43" spans="2:4">
      <c r="B43" s="8">
        <v>104130</v>
      </c>
      <c r="C43" s="5" t="s">
        <v>53</v>
      </c>
      <c r="D43" s="9">
        <f t="shared" si="1"/>
        <v>104130</v>
      </c>
    </row>
    <row r="44" spans="2:4">
      <c r="B44" s="8">
        <v>63843</v>
      </c>
      <c r="C44" s="5" t="s">
        <v>54</v>
      </c>
      <c r="D44" s="9">
        <f t="shared" si="1"/>
        <v>63843</v>
      </c>
    </row>
    <row r="45" spans="2:4">
      <c r="B45" s="8">
        <v>132523</v>
      </c>
      <c r="C45" s="5" t="s">
        <v>55</v>
      </c>
      <c r="D45" s="9">
        <f t="shared" si="1"/>
        <v>132523</v>
      </c>
    </row>
    <row r="46" spans="2:4">
      <c r="B46" s="8">
        <v>132524</v>
      </c>
      <c r="C46" s="5" t="s">
        <v>56</v>
      </c>
      <c r="D46" s="9">
        <f t="shared" si="1"/>
        <v>132524</v>
      </c>
    </row>
    <row r="47" spans="2:4">
      <c r="B47" s="8">
        <v>91241</v>
      </c>
      <c r="C47" s="5" t="s">
        <v>57</v>
      </c>
      <c r="D47" s="9">
        <f t="shared" si="1"/>
        <v>91241</v>
      </c>
    </row>
    <row r="48" spans="2:4">
      <c r="B48" s="8">
        <v>60791</v>
      </c>
      <c r="C48" s="5" t="s">
        <v>58</v>
      </c>
      <c r="D48" s="9">
        <f t="shared" si="1"/>
        <v>60791</v>
      </c>
    </row>
    <row r="49" spans="2:4">
      <c r="B49" s="8">
        <v>149068</v>
      </c>
      <c r="C49" s="5" t="s">
        <v>59</v>
      </c>
      <c r="D49" s="9">
        <f t="shared" si="1"/>
        <v>149068</v>
      </c>
    </row>
    <row r="50" spans="2:4">
      <c r="B50" s="8">
        <v>122189</v>
      </c>
      <c r="C50" s="5" t="s">
        <v>60</v>
      </c>
      <c r="D50" s="9">
        <f t="shared" si="1"/>
        <v>122189</v>
      </c>
    </row>
    <row r="51" spans="2:4">
      <c r="B51" s="8">
        <v>122209</v>
      </c>
      <c r="C51" s="5" t="s">
        <v>61</v>
      </c>
      <c r="D51" s="9">
        <f t="shared" si="1"/>
        <v>122209</v>
      </c>
    </row>
    <row r="52" spans="2:4">
      <c r="B52" s="8">
        <v>132527</v>
      </c>
      <c r="C52" s="5" t="s">
        <v>62</v>
      </c>
      <c r="D52" s="9">
        <f t="shared" si="1"/>
        <v>132527</v>
      </c>
    </row>
    <row r="53" spans="2:4">
      <c r="B53" s="8">
        <v>148745</v>
      </c>
      <c r="C53" s="5" t="s">
        <v>63</v>
      </c>
      <c r="D53" s="9">
        <f t="shared" si="1"/>
        <v>148745</v>
      </c>
    </row>
    <row r="54" spans="2:4">
      <c r="B54" s="8">
        <v>137435</v>
      </c>
      <c r="C54" s="5" t="s">
        <v>64</v>
      </c>
      <c r="D54" s="9">
        <f t="shared" si="1"/>
        <v>137435</v>
      </c>
    </row>
    <row r="55" spans="2:4">
      <c r="B55" s="8">
        <v>76038</v>
      </c>
      <c r="C55" s="5" t="s">
        <v>65</v>
      </c>
      <c r="D55" s="9">
        <f t="shared" si="1"/>
        <v>76038</v>
      </c>
    </row>
    <row r="56" spans="2:4">
      <c r="B56" s="8">
        <v>133336</v>
      </c>
      <c r="C56" s="5" t="s">
        <v>66</v>
      </c>
      <c r="D56" s="9">
        <f t="shared" si="1"/>
        <v>133336</v>
      </c>
    </row>
    <row r="57" spans="2:4">
      <c r="B57" s="8">
        <v>75908</v>
      </c>
      <c r="C57" s="5" t="s">
        <v>67</v>
      </c>
      <c r="D57" s="9">
        <f t="shared" si="1"/>
        <v>75908</v>
      </c>
    </row>
    <row r="58" spans="2:4">
      <c r="B58" s="8">
        <v>121963</v>
      </c>
      <c r="C58" s="5" t="s">
        <v>68</v>
      </c>
      <c r="D58" s="9">
        <f t="shared" si="1"/>
        <v>121963</v>
      </c>
    </row>
    <row r="59" spans="2:4">
      <c r="B59" s="8">
        <v>525256</v>
      </c>
      <c r="C59" s="5" t="s">
        <v>74</v>
      </c>
      <c r="D59" s="9">
        <f t="shared" si="1"/>
        <v>525256</v>
      </c>
    </row>
    <row r="60" spans="2:4">
      <c r="B60" s="8">
        <v>0</v>
      </c>
      <c r="C60" s="5">
        <v>0</v>
      </c>
      <c r="D60" s="9">
        <f t="shared" si="1"/>
        <v>0</v>
      </c>
    </row>
    <row r="61" spans="2:4">
      <c r="B61" s="8">
        <v>0</v>
      </c>
      <c r="C61" s="5">
        <v>0</v>
      </c>
      <c r="D61" s="9">
        <f t="shared" si="1"/>
        <v>0</v>
      </c>
    </row>
    <row r="62" spans="2:4">
      <c r="B62" s="8">
        <v>0</v>
      </c>
      <c r="C62" s="5">
        <v>0</v>
      </c>
      <c r="D62" s="9">
        <f t="shared" si="1"/>
        <v>0</v>
      </c>
    </row>
    <row r="63" spans="2:4">
      <c r="B63" s="8">
        <v>0</v>
      </c>
      <c r="C63" s="5">
        <v>0</v>
      </c>
      <c r="D63" s="9">
        <f t="shared" si="1"/>
        <v>0</v>
      </c>
    </row>
    <row r="64" spans="2:4">
      <c r="B64" s="8">
        <v>0</v>
      </c>
      <c r="C64" s="5">
        <v>0</v>
      </c>
      <c r="D64" s="9">
        <f t="shared" si="1"/>
        <v>0</v>
      </c>
    </row>
    <row r="65" spans="2:4">
      <c r="B65" s="8">
        <v>0</v>
      </c>
      <c r="C65" s="5">
        <v>0</v>
      </c>
      <c r="D65" s="9">
        <f t="shared" si="1"/>
        <v>0</v>
      </c>
    </row>
    <row r="66" spans="2:4">
      <c r="B66" s="8">
        <v>0</v>
      </c>
      <c r="C66" s="5">
        <v>0</v>
      </c>
      <c r="D66" s="9">
        <f t="shared" si="1"/>
        <v>0</v>
      </c>
    </row>
    <row r="67" spans="2:4">
      <c r="B67" s="8">
        <v>0</v>
      </c>
      <c r="C67" s="5">
        <v>0</v>
      </c>
      <c r="D67" s="9">
        <f t="shared" ref="D67:D98" si="2">B67</f>
        <v>0</v>
      </c>
    </row>
    <row r="68" spans="2:4">
      <c r="B68" s="8">
        <v>0</v>
      </c>
      <c r="C68" s="5">
        <v>0</v>
      </c>
      <c r="D68" s="9">
        <f t="shared" si="2"/>
        <v>0</v>
      </c>
    </row>
    <row r="69" spans="2:4">
      <c r="B69" s="8">
        <v>0</v>
      </c>
      <c r="C69" s="5">
        <v>0</v>
      </c>
      <c r="D69" s="9">
        <f t="shared" si="2"/>
        <v>0</v>
      </c>
    </row>
    <row r="70" spans="2:4">
      <c r="B70" s="8">
        <v>0</v>
      </c>
      <c r="C70" s="5">
        <v>0</v>
      </c>
      <c r="D70" s="9">
        <f t="shared" si="2"/>
        <v>0</v>
      </c>
    </row>
    <row r="71" spans="2:4">
      <c r="B71" s="8">
        <v>0</v>
      </c>
      <c r="C71" s="5">
        <v>0</v>
      </c>
      <c r="D71" s="9">
        <f t="shared" si="2"/>
        <v>0</v>
      </c>
    </row>
    <row r="72" spans="2:4">
      <c r="B72" s="8">
        <v>0</v>
      </c>
      <c r="C72" s="5">
        <v>0</v>
      </c>
      <c r="D72" s="9">
        <f t="shared" si="2"/>
        <v>0</v>
      </c>
    </row>
    <row r="73" spans="2:4">
      <c r="B73" s="8">
        <v>0</v>
      </c>
      <c r="C73" s="5">
        <v>0</v>
      </c>
      <c r="D73" s="9">
        <f t="shared" si="2"/>
        <v>0</v>
      </c>
    </row>
    <row r="74" spans="2:4">
      <c r="B74" s="8">
        <v>0</v>
      </c>
      <c r="C74" s="5">
        <v>0</v>
      </c>
      <c r="D74" s="9">
        <f t="shared" si="2"/>
        <v>0</v>
      </c>
    </row>
    <row r="75" spans="2:4">
      <c r="B75" s="8">
        <v>0</v>
      </c>
      <c r="C75" s="5">
        <v>0</v>
      </c>
      <c r="D75" s="9">
        <f t="shared" si="2"/>
        <v>0</v>
      </c>
    </row>
    <row r="76" spans="2:4">
      <c r="B76" s="8">
        <v>0</v>
      </c>
      <c r="C76" s="5">
        <v>0</v>
      </c>
      <c r="D76" s="9">
        <f t="shared" si="2"/>
        <v>0</v>
      </c>
    </row>
    <row r="77" spans="2:4">
      <c r="B77" s="8">
        <v>0</v>
      </c>
      <c r="C77" s="5">
        <v>0</v>
      </c>
      <c r="D77" s="9">
        <f t="shared" si="2"/>
        <v>0</v>
      </c>
    </row>
    <row r="78" spans="2:4">
      <c r="B78" s="8">
        <v>0</v>
      </c>
      <c r="C78" s="5">
        <v>0</v>
      </c>
      <c r="D78" s="9">
        <f t="shared" si="2"/>
        <v>0</v>
      </c>
    </row>
    <row r="79" spans="2:4">
      <c r="B79" s="8">
        <v>0</v>
      </c>
      <c r="C79" s="5">
        <v>0</v>
      </c>
      <c r="D79" s="9">
        <f t="shared" si="2"/>
        <v>0</v>
      </c>
    </row>
    <row r="80" spans="2:4">
      <c r="B80" s="8">
        <v>0</v>
      </c>
      <c r="C80" s="5">
        <v>0</v>
      </c>
      <c r="D80" s="9">
        <f t="shared" si="2"/>
        <v>0</v>
      </c>
    </row>
    <row r="81" spans="2:4">
      <c r="B81" s="8">
        <v>0</v>
      </c>
      <c r="C81" s="5">
        <v>0</v>
      </c>
      <c r="D81" s="9">
        <f t="shared" si="2"/>
        <v>0</v>
      </c>
    </row>
    <row r="82" spans="2:4">
      <c r="B82" s="8">
        <v>0</v>
      </c>
      <c r="C82" s="5">
        <v>0</v>
      </c>
      <c r="D82" s="9">
        <f t="shared" si="2"/>
        <v>0</v>
      </c>
    </row>
    <row r="83" spans="2:4">
      <c r="B83" s="8">
        <v>0</v>
      </c>
      <c r="C83" s="5">
        <v>0</v>
      </c>
      <c r="D83" s="9">
        <f t="shared" si="2"/>
        <v>0</v>
      </c>
    </row>
    <row r="84" spans="2:4">
      <c r="B84" s="8">
        <v>0</v>
      </c>
      <c r="C84" s="5">
        <v>0</v>
      </c>
      <c r="D84" s="9">
        <f t="shared" si="2"/>
        <v>0</v>
      </c>
    </row>
    <row r="85" spans="2:4">
      <c r="B85" s="8">
        <v>0</v>
      </c>
      <c r="C85" s="5">
        <v>0</v>
      </c>
      <c r="D85" s="9">
        <f t="shared" si="2"/>
        <v>0</v>
      </c>
    </row>
    <row r="86" spans="2:4">
      <c r="B86" s="8">
        <v>0</v>
      </c>
      <c r="C86" s="5">
        <v>0</v>
      </c>
      <c r="D86" s="9">
        <f t="shared" si="2"/>
        <v>0</v>
      </c>
    </row>
    <row r="87" spans="2:4">
      <c r="B87" s="8">
        <v>0</v>
      </c>
      <c r="C87" s="5">
        <v>0</v>
      </c>
      <c r="D87" s="9">
        <f t="shared" si="2"/>
        <v>0</v>
      </c>
    </row>
    <row r="88" spans="2:4">
      <c r="B88" s="8">
        <v>0</v>
      </c>
      <c r="C88" s="5">
        <v>0</v>
      </c>
      <c r="D88" s="9">
        <f t="shared" si="2"/>
        <v>0</v>
      </c>
    </row>
    <row r="89" spans="2:4">
      <c r="B89" s="8">
        <v>0</v>
      </c>
      <c r="C89" s="5">
        <v>0</v>
      </c>
      <c r="D89" s="9">
        <f t="shared" si="2"/>
        <v>0</v>
      </c>
    </row>
    <row r="90" spans="2:4">
      <c r="B90" s="8">
        <v>0</v>
      </c>
      <c r="C90" s="5">
        <v>0</v>
      </c>
      <c r="D90" s="9">
        <f t="shared" si="2"/>
        <v>0</v>
      </c>
    </row>
    <row r="91" spans="2:4">
      <c r="B91" s="8">
        <v>0</v>
      </c>
      <c r="C91" s="5">
        <v>0</v>
      </c>
      <c r="D91" s="9">
        <f t="shared" si="2"/>
        <v>0</v>
      </c>
    </row>
    <row r="92" spans="2:4">
      <c r="B92" s="8">
        <v>0</v>
      </c>
      <c r="C92" s="5">
        <v>0</v>
      </c>
      <c r="D92" s="9">
        <f t="shared" si="2"/>
        <v>0</v>
      </c>
    </row>
    <row r="93" spans="2:4">
      <c r="B93" s="8">
        <v>0</v>
      </c>
      <c r="C93" s="5">
        <v>0</v>
      </c>
      <c r="D93" s="9">
        <f t="shared" si="2"/>
        <v>0</v>
      </c>
    </row>
    <row r="94" spans="2:4">
      <c r="B94" s="8">
        <v>0</v>
      </c>
      <c r="C94" s="5">
        <v>0</v>
      </c>
      <c r="D94" s="9">
        <f t="shared" si="2"/>
        <v>0</v>
      </c>
    </row>
    <row r="95" spans="2:4">
      <c r="B95" s="8">
        <v>0</v>
      </c>
      <c r="C95" s="5">
        <v>0</v>
      </c>
      <c r="D95" s="9">
        <f t="shared" si="2"/>
        <v>0</v>
      </c>
    </row>
    <row r="96" spans="2:4">
      <c r="B96" s="8">
        <v>0</v>
      </c>
      <c r="C96" s="5">
        <v>0</v>
      </c>
      <c r="D96" s="9">
        <f t="shared" si="2"/>
        <v>0</v>
      </c>
    </row>
    <row r="97" spans="2:4">
      <c r="B97" s="8">
        <v>0</v>
      </c>
      <c r="C97" s="5">
        <v>0</v>
      </c>
      <c r="D97" s="9">
        <f t="shared" si="2"/>
        <v>0</v>
      </c>
    </row>
    <row r="98" spans="2:4">
      <c r="B98" s="8">
        <v>0</v>
      </c>
      <c r="C98" s="5">
        <v>0</v>
      </c>
      <c r="D98" s="9">
        <f t="shared" si="2"/>
        <v>0</v>
      </c>
    </row>
    <row r="99" spans="2:4">
      <c r="B99" s="8">
        <v>0</v>
      </c>
      <c r="C99" s="5">
        <v>0</v>
      </c>
      <c r="D99" s="9">
        <f t="shared" ref="D99:D130" si="3">B99</f>
        <v>0</v>
      </c>
    </row>
    <row r="100" spans="2:4">
      <c r="B100" s="8">
        <v>0</v>
      </c>
      <c r="C100" s="5">
        <v>0</v>
      </c>
      <c r="D100" s="9">
        <f t="shared" si="3"/>
        <v>0</v>
      </c>
    </row>
    <row r="101" spans="2:4">
      <c r="B101" s="8">
        <v>0</v>
      </c>
      <c r="C101" s="5">
        <v>0</v>
      </c>
      <c r="D101" s="9">
        <f t="shared" si="3"/>
        <v>0</v>
      </c>
    </row>
    <row r="102" spans="2:4">
      <c r="B102" s="8">
        <v>0</v>
      </c>
      <c r="C102" s="5">
        <v>0</v>
      </c>
      <c r="D102" s="9">
        <f t="shared" si="3"/>
        <v>0</v>
      </c>
    </row>
    <row r="103" spans="2:4">
      <c r="B103" s="8">
        <v>0</v>
      </c>
      <c r="C103" s="5">
        <v>0</v>
      </c>
      <c r="D103" s="9">
        <f t="shared" si="3"/>
        <v>0</v>
      </c>
    </row>
    <row r="104" spans="2:4">
      <c r="B104" s="8">
        <v>0</v>
      </c>
      <c r="C104" s="5">
        <v>0</v>
      </c>
      <c r="D104" s="9">
        <f t="shared" si="3"/>
        <v>0</v>
      </c>
    </row>
    <row r="105" spans="2:4">
      <c r="B105" s="8">
        <v>0</v>
      </c>
      <c r="C105" s="5">
        <v>0</v>
      </c>
      <c r="D105" s="9">
        <f t="shared" si="3"/>
        <v>0</v>
      </c>
    </row>
    <row r="106" spans="2:4">
      <c r="B106" s="8">
        <v>0</v>
      </c>
      <c r="C106" s="5">
        <v>0</v>
      </c>
      <c r="D106" s="9">
        <f t="shared" si="3"/>
        <v>0</v>
      </c>
    </row>
    <row r="107" spans="2:4">
      <c r="B107" s="8">
        <v>0</v>
      </c>
      <c r="C107" s="5">
        <v>0</v>
      </c>
      <c r="D107" s="9">
        <f t="shared" si="3"/>
        <v>0</v>
      </c>
    </row>
    <row r="108" spans="2:4">
      <c r="B108" s="8">
        <v>0</v>
      </c>
      <c r="C108" s="5">
        <v>0</v>
      </c>
      <c r="D108" s="9">
        <f t="shared" si="3"/>
        <v>0</v>
      </c>
    </row>
    <row r="109" spans="2:4">
      <c r="B109" s="8">
        <v>0</v>
      </c>
      <c r="C109" s="5">
        <v>0</v>
      </c>
      <c r="D109" s="9">
        <f t="shared" si="3"/>
        <v>0</v>
      </c>
    </row>
    <row r="110" spans="2:4">
      <c r="B110" s="8">
        <v>0</v>
      </c>
      <c r="C110" s="5">
        <v>0</v>
      </c>
      <c r="D110" s="9">
        <f t="shared" si="3"/>
        <v>0</v>
      </c>
    </row>
    <row r="111" spans="2:4">
      <c r="B111" s="8">
        <v>0</v>
      </c>
      <c r="C111" s="5">
        <v>0</v>
      </c>
      <c r="D111" s="9">
        <f t="shared" si="3"/>
        <v>0</v>
      </c>
    </row>
    <row r="112" spans="2:4">
      <c r="B112" s="8">
        <v>0</v>
      </c>
      <c r="C112" s="5">
        <v>0</v>
      </c>
      <c r="D112" s="9">
        <f t="shared" si="3"/>
        <v>0</v>
      </c>
    </row>
    <row r="113" spans="2:4">
      <c r="B113" s="8">
        <v>0</v>
      </c>
      <c r="C113" s="5">
        <v>0</v>
      </c>
      <c r="D113" s="9">
        <f t="shared" si="3"/>
        <v>0</v>
      </c>
    </row>
    <row r="114" spans="2:4">
      <c r="B114" s="8">
        <v>0</v>
      </c>
      <c r="C114" s="5">
        <v>0</v>
      </c>
      <c r="D114" s="9">
        <f t="shared" si="3"/>
        <v>0</v>
      </c>
    </row>
    <row r="115" spans="2:4">
      <c r="B115" s="8">
        <v>0</v>
      </c>
      <c r="C115" s="5">
        <v>0</v>
      </c>
      <c r="D115" s="9">
        <f t="shared" si="3"/>
        <v>0</v>
      </c>
    </row>
    <row r="116" spans="2:4">
      <c r="B116" s="8">
        <v>0</v>
      </c>
      <c r="C116" s="5">
        <v>0</v>
      </c>
      <c r="D116" s="9">
        <f t="shared" si="3"/>
        <v>0</v>
      </c>
    </row>
    <row r="117" spans="2:4">
      <c r="B117" s="8">
        <v>0</v>
      </c>
      <c r="C117" s="5">
        <v>0</v>
      </c>
      <c r="D117" s="9">
        <f t="shared" si="3"/>
        <v>0</v>
      </c>
    </row>
    <row r="118" spans="2:4">
      <c r="B118" s="8">
        <v>0</v>
      </c>
      <c r="C118" s="5">
        <v>0</v>
      </c>
      <c r="D118" s="9">
        <f t="shared" si="3"/>
        <v>0</v>
      </c>
    </row>
    <row r="119" spans="2:4">
      <c r="B119" s="8">
        <v>0</v>
      </c>
      <c r="C119" s="5">
        <v>0</v>
      </c>
      <c r="D119" s="9">
        <f t="shared" si="3"/>
        <v>0</v>
      </c>
    </row>
    <row r="120" spans="2:4">
      <c r="B120" s="8">
        <v>0</v>
      </c>
      <c r="C120" s="5">
        <v>0</v>
      </c>
      <c r="D120" s="9">
        <f t="shared" si="3"/>
        <v>0</v>
      </c>
    </row>
    <row r="121" spans="2:4">
      <c r="B121" s="8">
        <v>0</v>
      </c>
      <c r="C121" s="5">
        <v>0</v>
      </c>
      <c r="D121" s="9">
        <f t="shared" si="3"/>
        <v>0</v>
      </c>
    </row>
    <row r="122" spans="2:4">
      <c r="B122" s="8">
        <v>0</v>
      </c>
      <c r="C122" s="5">
        <v>0</v>
      </c>
      <c r="D122" s="9">
        <f t="shared" si="3"/>
        <v>0</v>
      </c>
    </row>
    <row r="123" spans="2:4">
      <c r="B123" s="8">
        <v>0</v>
      </c>
      <c r="C123" s="5">
        <v>0</v>
      </c>
      <c r="D123" s="9">
        <f t="shared" si="3"/>
        <v>0</v>
      </c>
    </row>
    <row r="124" spans="2:4">
      <c r="B124" s="8">
        <v>0</v>
      </c>
      <c r="C124" s="5">
        <v>0</v>
      </c>
      <c r="D124" s="9">
        <f t="shared" si="3"/>
        <v>0</v>
      </c>
    </row>
    <row r="125" spans="2:4">
      <c r="B125" s="8">
        <v>0</v>
      </c>
      <c r="C125" s="5">
        <v>0</v>
      </c>
      <c r="D125" s="9">
        <f t="shared" si="3"/>
        <v>0</v>
      </c>
    </row>
    <row r="126" spans="2:4">
      <c r="B126" s="8">
        <v>0</v>
      </c>
      <c r="C126" s="5">
        <v>0</v>
      </c>
      <c r="D126" s="9">
        <f t="shared" si="3"/>
        <v>0</v>
      </c>
    </row>
    <row r="127" spans="2:4">
      <c r="B127" s="8">
        <v>0</v>
      </c>
      <c r="C127" s="5">
        <v>0</v>
      </c>
      <c r="D127" s="9">
        <f t="shared" si="3"/>
        <v>0</v>
      </c>
    </row>
    <row r="128" spans="2:4">
      <c r="B128" s="8">
        <v>0</v>
      </c>
      <c r="C128" s="5">
        <v>0</v>
      </c>
      <c r="D128" s="9">
        <f t="shared" si="3"/>
        <v>0</v>
      </c>
    </row>
    <row r="129" spans="2:4">
      <c r="B129" s="8">
        <v>0</v>
      </c>
      <c r="C129" s="5">
        <v>0</v>
      </c>
      <c r="D129" s="9">
        <f t="shared" si="3"/>
        <v>0</v>
      </c>
    </row>
    <row r="130" spans="2:4">
      <c r="B130" s="8">
        <v>0</v>
      </c>
      <c r="C130" s="5">
        <v>0</v>
      </c>
      <c r="D130" s="9">
        <f t="shared" si="3"/>
        <v>0</v>
      </c>
    </row>
    <row r="131" spans="2:4">
      <c r="B131" s="8">
        <v>0</v>
      </c>
      <c r="C131" s="5">
        <v>0</v>
      </c>
      <c r="D131" s="9">
        <f t="shared" ref="D131:D162" si="4">B131</f>
        <v>0</v>
      </c>
    </row>
    <row r="132" spans="2:4">
      <c r="B132" s="8">
        <v>0</v>
      </c>
      <c r="C132" s="5">
        <v>0</v>
      </c>
      <c r="D132" s="9">
        <f t="shared" si="4"/>
        <v>0</v>
      </c>
    </row>
    <row r="133" spans="2:4">
      <c r="B133" s="8">
        <v>0</v>
      </c>
      <c r="C133" s="5">
        <v>0</v>
      </c>
      <c r="D133" s="9">
        <f t="shared" si="4"/>
        <v>0</v>
      </c>
    </row>
    <row r="134" spans="2:4">
      <c r="B134" s="8">
        <v>0</v>
      </c>
      <c r="C134" s="5">
        <v>0</v>
      </c>
      <c r="D134" s="9">
        <f t="shared" si="4"/>
        <v>0</v>
      </c>
    </row>
    <row r="135" spans="2:4">
      <c r="B135" s="8">
        <v>0</v>
      </c>
      <c r="C135" s="5">
        <v>0</v>
      </c>
      <c r="D135" s="9">
        <f t="shared" si="4"/>
        <v>0</v>
      </c>
    </row>
    <row r="136" spans="2:4">
      <c r="B136" s="8">
        <v>0</v>
      </c>
      <c r="C136" s="5">
        <v>0</v>
      </c>
      <c r="D136" s="9">
        <f t="shared" si="4"/>
        <v>0</v>
      </c>
    </row>
    <row r="137" spans="2:4">
      <c r="B137" s="8">
        <v>0</v>
      </c>
      <c r="C137" s="5">
        <v>0</v>
      </c>
      <c r="D137" s="9">
        <f t="shared" si="4"/>
        <v>0</v>
      </c>
    </row>
    <row r="138" spans="2:4">
      <c r="B138" s="8">
        <v>0</v>
      </c>
      <c r="C138" s="5">
        <v>0</v>
      </c>
      <c r="D138" s="9">
        <f t="shared" si="4"/>
        <v>0</v>
      </c>
    </row>
    <row r="139" spans="2:4">
      <c r="B139" s="8">
        <v>0</v>
      </c>
      <c r="C139" s="5">
        <v>0</v>
      </c>
      <c r="D139" s="9">
        <f t="shared" si="4"/>
        <v>0</v>
      </c>
    </row>
    <row r="140" spans="2:4">
      <c r="B140" s="8">
        <v>0</v>
      </c>
      <c r="C140" s="5">
        <v>0</v>
      </c>
      <c r="D140" s="9">
        <f t="shared" si="4"/>
        <v>0</v>
      </c>
    </row>
    <row r="141" spans="2:4">
      <c r="B141" s="8">
        <v>0</v>
      </c>
      <c r="C141" s="5">
        <v>0</v>
      </c>
      <c r="D141" s="9">
        <f t="shared" si="4"/>
        <v>0</v>
      </c>
    </row>
    <row r="142" spans="2:4">
      <c r="B142" s="8">
        <v>0</v>
      </c>
      <c r="C142" s="5">
        <v>0</v>
      </c>
      <c r="D142" s="9">
        <f t="shared" si="4"/>
        <v>0</v>
      </c>
    </row>
    <row r="143" spans="2:4">
      <c r="B143" s="8">
        <v>0</v>
      </c>
      <c r="C143" s="5">
        <v>0</v>
      </c>
      <c r="D143" s="9">
        <f t="shared" si="4"/>
        <v>0</v>
      </c>
    </row>
    <row r="144" spans="2:4">
      <c r="B144" s="8">
        <v>0</v>
      </c>
      <c r="C144" s="5">
        <v>0</v>
      </c>
      <c r="D144" s="9">
        <f t="shared" si="4"/>
        <v>0</v>
      </c>
    </row>
    <row r="145" spans="2:4">
      <c r="B145" s="8">
        <v>0</v>
      </c>
      <c r="C145" s="5">
        <v>0</v>
      </c>
      <c r="D145" s="9">
        <f t="shared" si="4"/>
        <v>0</v>
      </c>
    </row>
    <row r="146" spans="2:4">
      <c r="B146" s="8">
        <v>0</v>
      </c>
      <c r="C146" s="5">
        <v>0</v>
      </c>
      <c r="D146" s="9">
        <f t="shared" si="4"/>
        <v>0</v>
      </c>
    </row>
    <row r="147" spans="2:4">
      <c r="B147" s="8">
        <v>0</v>
      </c>
      <c r="C147" s="5">
        <v>0</v>
      </c>
      <c r="D147" s="9">
        <f t="shared" si="4"/>
        <v>0</v>
      </c>
    </row>
    <row r="148" spans="2:4">
      <c r="B148" s="8">
        <v>0</v>
      </c>
      <c r="C148" s="5">
        <v>0</v>
      </c>
      <c r="D148" s="9">
        <f t="shared" si="4"/>
        <v>0</v>
      </c>
    </row>
    <row r="149" spans="2:4">
      <c r="B149" s="8">
        <v>0</v>
      </c>
      <c r="C149" s="5">
        <v>0</v>
      </c>
      <c r="D149" s="9">
        <f t="shared" si="4"/>
        <v>0</v>
      </c>
    </row>
    <row r="150" spans="2:4">
      <c r="B150" s="8">
        <v>0</v>
      </c>
      <c r="C150" s="5">
        <v>0</v>
      </c>
      <c r="D150" s="9">
        <f t="shared" si="4"/>
        <v>0</v>
      </c>
    </row>
    <row r="151" spans="2:4">
      <c r="B151" s="8">
        <v>0</v>
      </c>
      <c r="C151" s="5">
        <v>0</v>
      </c>
      <c r="D151" s="9">
        <f t="shared" si="4"/>
        <v>0</v>
      </c>
    </row>
    <row r="152" spans="2:4">
      <c r="B152" s="8">
        <v>0</v>
      </c>
      <c r="C152" s="5">
        <v>0</v>
      </c>
      <c r="D152" s="9">
        <f t="shared" si="4"/>
        <v>0</v>
      </c>
    </row>
    <row r="153" spans="2:4">
      <c r="B153" s="8">
        <v>0</v>
      </c>
      <c r="C153" s="5">
        <v>0</v>
      </c>
      <c r="D153" s="9">
        <f t="shared" si="4"/>
        <v>0</v>
      </c>
    </row>
    <row r="154" spans="2:4">
      <c r="B154" s="8">
        <v>0</v>
      </c>
      <c r="C154" s="5">
        <v>0</v>
      </c>
      <c r="D154" s="9">
        <f t="shared" si="4"/>
        <v>0</v>
      </c>
    </row>
    <row r="155" spans="2:4">
      <c r="B155" s="8">
        <v>0</v>
      </c>
      <c r="C155" s="5">
        <v>0</v>
      </c>
      <c r="D155" s="9">
        <f t="shared" si="4"/>
        <v>0</v>
      </c>
    </row>
    <row r="156" spans="2:4">
      <c r="B156" s="8">
        <v>0</v>
      </c>
      <c r="C156" s="5">
        <v>0</v>
      </c>
      <c r="D156" s="9">
        <f t="shared" si="4"/>
        <v>0</v>
      </c>
    </row>
    <row r="157" spans="2:4">
      <c r="B157" s="8">
        <v>0</v>
      </c>
      <c r="C157" s="5">
        <v>0</v>
      </c>
      <c r="D157" s="9">
        <f t="shared" si="4"/>
        <v>0</v>
      </c>
    </row>
    <row r="158" spans="2:4">
      <c r="B158" s="8">
        <v>0</v>
      </c>
      <c r="C158" s="5">
        <v>0</v>
      </c>
      <c r="D158" s="9">
        <f t="shared" si="4"/>
        <v>0</v>
      </c>
    </row>
    <row r="159" spans="2:4">
      <c r="B159" s="8">
        <v>0</v>
      </c>
      <c r="C159" s="5">
        <v>0</v>
      </c>
      <c r="D159" s="9">
        <f t="shared" si="4"/>
        <v>0</v>
      </c>
    </row>
    <row r="160" spans="2:4">
      <c r="B160" s="8">
        <v>0</v>
      </c>
      <c r="C160" s="5">
        <v>0</v>
      </c>
      <c r="D160" s="9">
        <f t="shared" si="4"/>
        <v>0</v>
      </c>
    </row>
    <row r="161" spans="2:4">
      <c r="B161" s="8">
        <v>0</v>
      </c>
      <c r="C161" s="5">
        <v>0</v>
      </c>
      <c r="D161" s="9">
        <f t="shared" si="4"/>
        <v>0</v>
      </c>
    </row>
    <row r="162" spans="2:4">
      <c r="B162" s="8">
        <v>0</v>
      </c>
      <c r="C162" s="5">
        <v>0</v>
      </c>
      <c r="D162" s="9">
        <f t="shared" si="4"/>
        <v>0</v>
      </c>
    </row>
    <row r="163" spans="2:4">
      <c r="B163" s="8">
        <v>0</v>
      </c>
      <c r="C163" s="5">
        <v>0</v>
      </c>
      <c r="D163" s="9">
        <f t="shared" ref="D163:D170" si="5">B163</f>
        <v>0</v>
      </c>
    </row>
    <row r="164" spans="2:4">
      <c r="B164" s="8">
        <v>0</v>
      </c>
      <c r="C164" s="5">
        <v>0</v>
      </c>
      <c r="D164" s="9">
        <f t="shared" si="5"/>
        <v>0</v>
      </c>
    </row>
    <row r="165" spans="2:4">
      <c r="B165" s="8">
        <v>0</v>
      </c>
      <c r="C165" s="5">
        <v>0</v>
      </c>
      <c r="D165" s="9">
        <f t="shared" si="5"/>
        <v>0</v>
      </c>
    </row>
    <row r="166" spans="2:4">
      <c r="B166" s="8">
        <v>0</v>
      </c>
      <c r="C166" s="5">
        <v>0</v>
      </c>
      <c r="D166" s="9">
        <f t="shared" si="5"/>
        <v>0</v>
      </c>
    </row>
    <row r="167" spans="2:4">
      <c r="B167" s="8">
        <v>0</v>
      </c>
      <c r="C167" s="5">
        <v>0</v>
      </c>
      <c r="D167" s="9">
        <f t="shared" si="5"/>
        <v>0</v>
      </c>
    </row>
    <row r="168" spans="2:4">
      <c r="B168" s="8">
        <v>0</v>
      </c>
      <c r="C168" s="5">
        <v>0</v>
      </c>
      <c r="D168" s="9">
        <f t="shared" si="5"/>
        <v>0</v>
      </c>
    </row>
    <row r="169" spans="2:4">
      <c r="B169" s="8">
        <v>0</v>
      </c>
      <c r="C169" s="5">
        <v>0</v>
      </c>
      <c r="D169" s="9">
        <f t="shared" si="5"/>
        <v>0</v>
      </c>
    </row>
    <row r="170" spans="2:4" ht="15.75" thickBot="1">
      <c r="B170" s="10">
        <v>0</v>
      </c>
      <c r="C170" s="13">
        <v>0</v>
      </c>
      <c r="D170" s="11">
        <f t="shared" si="5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CHAMADOS</vt:lpstr>
      <vt:lpstr>CONTROLE</vt:lpstr>
      <vt:lpstr>CONTROLE DE CHAMADOS</vt:lpstr>
      <vt:lpstr>BANCO DE DADOS</vt:lpstr>
      <vt:lpstr>area</vt:lpstr>
      <vt:lpstr>colaborador</vt:lpstr>
      <vt:lpstr>descrição</vt:lpstr>
      <vt:lpstr>operador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claudio.goelzer</dc:creator>
  <cp:lastModifiedBy>vivon</cp:lastModifiedBy>
  <cp:lastPrinted>2014-11-26T08:15:35Z</cp:lastPrinted>
  <dcterms:created xsi:type="dcterms:W3CDTF">2014-11-24T06:19:41Z</dcterms:created>
  <dcterms:modified xsi:type="dcterms:W3CDTF">2015-01-30T03:26:04Z</dcterms:modified>
</cp:coreProperties>
</file>